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aujas_serveris\4kt2\PASIRUOSIMAS\tyryba 1 iki 05-07\"/>
    </mc:Choice>
  </mc:AlternateContent>
  <xr:revisionPtr revIDLastSave="0" documentId="13_ncr:1_{491B1026-A230-441D-82F0-1EA99AE9FB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žduotis" sheetId="4" r:id="rId1"/>
    <sheet name="Pareigybės" sheetId="5" r:id="rId2"/>
    <sheet name="Darbuotojai" sheetId="2" r:id="rId3"/>
    <sheet name="Darbo užmokestis" sheetId="3" r:id="rId4"/>
    <sheet name="suvestinė" sheetId="6" r:id="rId5"/>
  </sheets>
  <definedNames>
    <definedName name="_xlnm._FilterDatabase" localSheetId="3" hidden="1">'Darbo užmokestis'!$A$9:$Y$24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2" l="1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6" i="2"/>
  <c r="C20" i="2" l="1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M7" i="3" l="1"/>
  <c r="X7" i="3" l="1"/>
  <c r="L7" i="3" l="1"/>
  <c r="K7" i="3"/>
  <c r="N7" i="3"/>
  <c r="J7" i="3" l="1"/>
  <c r="T7" i="3" l="1"/>
  <c r="R7" i="3"/>
  <c r="O7" i="3"/>
  <c r="S7" i="3"/>
  <c r="W7" i="3"/>
  <c r="P7" i="3" l="1"/>
  <c r="Q7" i="3"/>
  <c r="U7" i="3" l="1"/>
  <c r="Y7" i="3"/>
  <c r="V7" i="3"/>
</calcChain>
</file>

<file path=xl/sharedStrings.xml><?xml version="1.0" encoding="utf-8"?>
<sst xmlns="http://schemas.openxmlformats.org/spreadsheetml/2006/main" count="253" uniqueCount="185">
  <si>
    <t>Eil. Nr.</t>
  </si>
  <si>
    <t>Vadybininkas</t>
  </si>
  <si>
    <t>Administratorė</t>
  </si>
  <si>
    <t>Vadovas</t>
  </si>
  <si>
    <t>Garantinis fondas</t>
  </si>
  <si>
    <t>Pareigos</t>
  </si>
  <si>
    <t>Darbo užmokestis</t>
  </si>
  <si>
    <t>Darbuotojai</t>
  </si>
  <si>
    <t>Pavardė, vardas</t>
  </si>
  <si>
    <r>
      <t xml:space="preserve">Valandinis tarifinis atlygis, </t>
    </r>
    <r>
      <rPr>
        <sz val="11"/>
        <color theme="1"/>
        <rFont val="Tahoma"/>
        <family val="2"/>
      </rPr>
      <t>€</t>
    </r>
  </si>
  <si>
    <r>
      <t xml:space="preserve">Avansas, </t>
    </r>
    <r>
      <rPr>
        <sz val="11"/>
        <color theme="1"/>
        <rFont val="Tahoma"/>
        <family val="2"/>
      </rPr>
      <t>€</t>
    </r>
  </si>
  <si>
    <t>Asmens kodas</t>
  </si>
  <si>
    <t>Tel. Nr.</t>
  </si>
  <si>
    <t>Adresas</t>
  </si>
  <si>
    <t>Registras</t>
  </si>
  <si>
    <t>Op. Nr.</t>
  </si>
  <si>
    <t>Skaičiavimo data</t>
  </si>
  <si>
    <r>
      <t xml:space="preserve">Pareiginis atlyginimas, </t>
    </r>
    <r>
      <rPr>
        <sz val="11"/>
        <color theme="1"/>
        <rFont val="Tahoma"/>
        <family val="2"/>
      </rPr>
      <t>€</t>
    </r>
  </si>
  <si>
    <t xml:space="preserve">Nustatytas darbo dienų skaičius </t>
  </si>
  <si>
    <t>Faktiškai dirbta, d.</t>
  </si>
  <si>
    <t>Faktiškai dirbta, val.</t>
  </si>
  <si>
    <r>
      <t xml:space="preserve">Atlyginimas, </t>
    </r>
    <r>
      <rPr>
        <sz val="11"/>
        <color theme="1"/>
        <rFont val="Tahoma"/>
        <family val="2"/>
      </rPr>
      <t>€</t>
    </r>
  </si>
  <si>
    <r>
      <t xml:space="preserve">Mėnesinė priemoka, </t>
    </r>
    <r>
      <rPr>
        <sz val="11"/>
        <color theme="1"/>
        <rFont val="Tahoma"/>
        <family val="2"/>
      </rPr>
      <t>€</t>
    </r>
  </si>
  <si>
    <t>Eilinės atostogos,  €</t>
  </si>
  <si>
    <t>Kompensacija už nepanaudotas atostogas,  €</t>
  </si>
  <si>
    <t>Nedarbingumo pašalpa darbdavio lėšomis,  €</t>
  </si>
  <si>
    <t>Priskaičiuota iš viso,  €</t>
  </si>
  <si>
    <r>
      <t xml:space="preserve">pritaikytas NPD, </t>
    </r>
    <r>
      <rPr>
        <sz val="11"/>
        <color theme="1"/>
        <rFont val="Tahoma"/>
        <family val="2"/>
      </rPr>
      <t>€</t>
    </r>
  </si>
  <si>
    <t>Išskaičiuota iš viso, €</t>
  </si>
  <si>
    <t>Išmokėtina suma, €</t>
  </si>
  <si>
    <t>Darbdavio VSD įmokos, €</t>
  </si>
  <si>
    <t>Avansas, €</t>
  </si>
  <si>
    <t>Išmokėtina suma po avanso, €</t>
  </si>
  <si>
    <t>Savarankiško darbo užduotis:</t>
  </si>
  <si>
    <t>Darbalapis "Darbuotojai"</t>
  </si>
  <si>
    <t>Stulpelio pavadinimas</t>
  </si>
  <si>
    <t>Užduotis</t>
  </si>
  <si>
    <t>Sukurkite seką</t>
  </si>
  <si>
    <t>Sukurkite seką "Darbuotojas1" ir t.t.</t>
  </si>
  <si>
    <t>Pareigybė</t>
  </si>
  <si>
    <t>Buhalterė</t>
  </si>
  <si>
    <t>Sandėlininkas</t>
  </si>
  <si>
    <t xml:space="preserve">Darbuotojų skaičius </t>
  </si>
  <si>
    <t>Gamybos darbuotojas</t>
  </si>
  <si>
    <t>Sudarykite  sąrašą ir parinkite vieną iš pateiktų pareigybių kiekvienam darbuotojui. Pareigybių skaičius duotas "Pareigybės" lape</t>
  </si>
  <si>
    <t>VSD darbuotojo</t>
  </si>
  <si>
    <t>VSD darbdavio</t>
  </si>
  <si>
    <t xml:space="preserve">Papildomas pensijinis kaupimas </t>
  </si>
  <si>
    <t>Apskaičiuokite iš pareiginio atlyginimo imdami vidutinį mėnesio darbo dienų skaičių 22</t>
  </si>
  <si>
    <t>x</t>
  </si>
  <si>
    <t>nepildyti</t>
  </si>
  <si>
    <t>sugalvokite patys</t>
  </si>
  <si>
    <t>Darbalapis "Darbo užmokestis"</t>
  </si>
  <si>
    <t>nukopijuokite darbuotojus iš darbuotojų lapo</t>
  </si>
  <si>
    <t>Parinkite kiekvienam darbuotojui pareiginį atlyginimą pagal pareigas</t>
  </si>
  <si>
    <t>Parinkite kiekvienam darbuotojui pareiginį atlyginimą iš darbuotojų lapo</t>
  </si>
  <si>
    <t>Parinkite kiekvienam darbuotojui pareiginį valandinį atlyginimą iš darbuotojų lapo</t>
  </si>
  <si>
    <t>Išmokama = priskaičiuota - išskaičiuota</t>
  </si>
  <si>
    <t>visa išskaičiuota suma mokesčiams</t>
  </si>
  <si>
    <t>Parinkite iš darbuotojų lapo</t>
  </si>
  <si>
    <t>Išmokama suma atėmus avansą</t>
  </si>
  <si>
    <t>parinkite atsitiktiniu būdu nuo 15 iki mėnesio darbo dienų skaičiaus</t>
  </si>
  <si>
    <t>dienos * 8 val.</t>
  </si>
  <si>
    <t>atlyginimas priskaičiuotas už dirbtas dienas</t>
  </si>
  <si>
    <t>Skirkite mėnesinę priemoką 50 eurų, jei dirbo visas darbo dienas</t>
  </si>
  <si>
    <t>Jei darbuotojas nedirbo daugiau nei 4 dienas, tada jis tas dienas buvo atostogose. Paskaičiuokite už tas dienas atostoginius</t>
  </si>
  <si>
    <t>Visos priskaičiuotos sumos</t>
  </si>
  <si>
    <t>Nedarbingumo pašalpa</t>
  </si>
  <si>
    <t>0,2% nuo visiems darbuotojams priskaičiuotų atlyginimų</t>
  </si>
  <si>
    <t>apskaičiuokite darbo dienų skaičių su funkcija Networkdays(). Nepamirškite švenčių dienų.</t>
  </si>
  <si>
    <t>Jei darbuotojas nedirbo  4 ar mažiau dienų, tada jis sirgo. Paskaičiuokite už tas 1-2 dienas darbdavio mokamą atlyginimą</t>
  </si>
  <si>
    <t>UAB "Jaunystė"</t>
  </si>
  <si>
    <t>Įmonės kodas 1222555888</t>
  </si>
  <si>
    <t>Darbo užmokesčio registras</t>
  </si>
  <si>
    <t>mėnuo</t>
  </si>
  <si>
    <t>A5</t>
  </si>
  <si>
    <t>Įmoka</t>
  </si>
  <si>
    <t>Iš viso:</t>
  </si>
  <si>
    <t xml:space="preserve">5 eilutėje </t>
  </si>
  <si>
    <t>suskaičiuokite stulpelių sumas</t>
  </si>
  <si>
    <t>Išrikiuokite duomenis pagal pareiginį atlyginimą mažėjančia tvarka</t>
  </si>
  <si>
    <t>Sukurkite skritulinę  diagramą, kurioje pateikite darbuotojas1 sumokamus mokesčius ir išmokamą sumą</t>
  </si>
  <si>
    <t>Sukurkite stulpelinę diagramą, kurioje pateikite darbuotojus ir jiems išmokamas sumas, uždėkite etiketes, ašių pavadinimus, stulpelių spalva - oranžinė</t>
  </si>
  <si>
    <t>Pastabos</t>
  </si>
  <si>
    <t>sąrašas</t>
  </si>
  <si>
    <t>concatenate()</t>
  </si>
  <si>
    <t>choose()</t>
  </si>
  <si>
    <t>vlookup()</t>
  </si>
  <si>
    <t>randbetween()</t>
  </si>
  <si>
    <t>atlyginimas*fakt.dirbtų d./d.d.skaičius</t>
  </si>
  <si>
    <t>IF</t>
  </si>
  <si>
    <t>Formatuokite lentelę</t>
  </si>
  <si>
    <t>koeficientams suteikite vardus</t>
  </si>
  <si>
    <t>Avansą parinkite atsitiktiniu būdu  150 arba 200 eurų</t>
  </si>
  <si>
    <t>sujunkite "+370 6" ir 7 atsitiktiniai skaičiai</t>
  </si>
  <si>
    <r>
      <t xml:space="preserve">VSD  ir PSD įmokos, </t>
    </r>
    <r>
      <rPr>
        <sz val="11"/>
        <color theme="1"/>
        <rFont val="Tahoma"/>
        <family val="2"/>
      </rPr>
      <t>€</t>
    </r>
  </si>
  <si>
    <t>PSD</t>
  </si>
  <si>
    <t>Ilgalaikio darbo išmokų fondo įmoka</t>
  </si>
  <si>
    <t>Soc. draudimo įmokos nelaimingų atsitikimų draudimui</t>
  </si>
  <si>
    <t>VSD įmoka, €</t>
  </si>
  <si>
    <t>PSD įmoka,  €</t>
  </si>
  <si>
    <t>Pareiginis atlyginimas, €</t>
  </si>
  <si>
    <t>Valandinis tarifinis atlygis, €</t>
  </si>
  <si>
    <t>Atlyginimas, €</t>
  </si>
  <si>
    <t>Mėnesinė priemoka, €</t>
  </si>
  <si>
    <t>pritaikytas NPD, €</t>
  </si>
  <si>
    <t>S1, S2</t>
  </si>
  <si>
    <t>Vidutinė avanso suma</t>
  </si>
  <si>
    <t>Pritaikyto NPD mediana</t>
  </si>
  <si>
    <t>Keli darbuotojai dirbo 18 ir daugiau dienų</t>
  </si>
  <si>
    <t>2 didžiausia GPM reikšmė</t>
  </si>
  <si>
    <t>GPM, €</t>
  </si>
  <si>
    <t>GPM1</t>
  </si>
  <si>
    <t>GPM2</t>
  </si>
  <si>
    <r>
      <t xml:space="preserve">GPM, </t>
    </r>
    <r>
      <rPr>
        <sz val="11"/>
        <color theme="1"/>
        <rFont val="Tahoma"/>
        <family val="2"/>
      </rPr>
      <t>€</t>
    </r>
  </si>
  <si>
    <t>Įrašykite kovo mėnesį</t>
  </si>
  <si>
    <t>GMP=(Priskaičiuota - NPD)*20%</t>
  </si>
  <si>
    <t>VSD (1,77%) * priskaičiuota</t>
  </si>
  <si>
    <t>3% nuo priskaičiuoto atlygio</t>
  </si>
  <si>
    <t>Darbuotojų, kurių valandinis įkainis mažiau nei 8 eurai,   sumokamų VSD  vidurkis</t>
  </si>
  <si>
    <t>Darbuotojų, kurie dirbo mažiau nei 18 dienų, išmokamų atlyginimų suma</t>
  </si>
  <si>
    <t>Apskaičiuokite S1 ir S2 langelių reikšmes nuo visų darbuotojų atlyginimo.</t>
  </si>
  <si>
    <t>tarkime, kad darote registrą kovo mėnesiui, tada rašykite visur 03</t>
  </si>
  <si>
    <t>eomonth()</t>
  </si>
  <si>
    <t>14,29% nuo priskaičiuoto atlygio atėmus nedarbingumo pašalpos sumą, PSD - 6,98%</t>
  </si>
  <si>
    <t>Sąlyginiu formatavimu išskirkite 5 mažiausias išmokėtinas sumas</t>
  </si>
  <si>
    <t>Pasirinkite šių metų kovo datą formatas: 2022/kov/31</t>
  </si>
  <si>
    <t>Neapmokestinamo minimumo skaičiavimas:</t>
  </si>
  <si>
    <t>1)</t>
  </si>
  <si>
    <t>NPD max - 460 Eur. Taikomas pajamoms iki 730 Eur.</t>
  </si>
  <si>
    <t>2)</t>
  </si>
  <si>
    <t>NPD = 460 – 0,26* (gyventojo mėnesio su darbo santykiais arba jų esmę atitinkančiais santykiais susijusios pajamos – 730)</t>
  </si>
  <si>
    <t>jei Du&lt;1678</t>
  </si>
  <si>
    <t>3)</t>
  </si>
  <si>
    <t>NPD = 400 – 0,18* (gyventojo mėnesio su darbo santykiais arba jų esmę atitinkančiais santykiais susijusios pajamos – 642)</t>
  </si>
  <si>
    <t>jei Du&gt;1678</t>
  </si>
  <si>
    <t>4)</t>
  </si>
  <si>
    <t>Jei neigiamas tai rašome 0</t>
  </si>
  <si>
    <t>paskaičiuokite pagal dešinėje duotas formules</t>
  </si>
  <si>
    <t xml:space="preserve">Jaunystės 1 </t>
  </si>
  <si>
    <t>Jaunystės 2</t>
  </si>
  <si>
    <t>Jaunystės 3</t>
  </si>
  <si>
    <t>Jaunystės 4</t>
  </si>
  <si>
    <t>Jaunystės 5</t>
  </si>
  <si>
    <t>Jaunystės 6</t>
  </si>
  <si>
    <t>Jaunystės 7</t>
  </si>
  <si>
    <t>Jaunystės 8</t>
  </si>
  <si>
    <t>Jaunystės 9</t>
  </si>
  <si>
    <t>Jaunystės 10</t>
  </si>
  <si>
    <t>Jaunystės 11</t>
  </si>
  <si>
    <t>Jaunystės 12</t>
  </si>
  <si>
    <t>Jaunystės 13</t>
  </si>
  <si>
    <t>Jaunystės 14</t>
  </si>
  <si>
    <t>Jaunystės 15</t>
  </si>
  <si>
    <t>darbo užmokestis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</si>
  <si>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</si>
  <si>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</si>
  <si>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</si>
  <si>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</si>
  <si>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</si>
  <si>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</si>
  <si>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</si>
  <si>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</si>
  <si>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</si>
  <si>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</si>
  <si>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</si>
  <si>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</si>
  <si>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</si>
  <si>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</si>
  <si>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</si>
  <si>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Darbuotojas1</t>
  </si>
  <si>
    <t>Darbuotojas2</t>
  </si>
  <si>
    <t>Darbuotojas3</t>
  </si>
  <si>
    <t>Darbuotojas4</t>
  </si>
  <si>
    <t>Darbuotojas5</t>
  </si>
  <si>
    <t>Darbuotojas6</t>
  </si>
  <si>
    <t>Darbuotojas7</t>
  </si>
  <si>
    <t>Darbuotojas8</t>
  </si>
  <si>
    <t>Darbuotojas9</t>
  </si>
  <si>
    <t>Darbuotojas10</t>
  </si>
  <si>
    <t>Darbuotojas11</t>
  </si>
  <si>
    <t>Darbuotojas12</t>
  </si>
  <si>
    <t>Darbuotojas13</t>
  </si>
  <si>
    <t>Darbuotojas14</t>
  </si>
  <si>
    <t>Darbuotojas15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</si>
</sst>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%"/>
    <numFmt numFmtId="165" formatCode="yyyy\/mmm\/dd"/>
    <numFmt numFmtId="167" formatCode="#,##0.00\ &quot;€&quot;"/>
  </numFmts>
  <fonts count="14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  <charset val="186"/>
    </font>
    <font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  <charset val="186"/>
    </font>
    <font>
      <sz val="8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2" fontId="0" fillId="0" borderId="0" xfId="1" applyNumberFormat="1" applyFont="1" applyAlignment="1">
      <alignment horizontal="left"/>
    </xf>
    <xf numFmtId="0" fontId="7" fillId="0" borderId="0" xfId="0" applyFont="1"/>
    <xf numFmtId="0" fontId="0" fillId="2" borderId="0" xfId="0" applyFill="1"/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1" xfId="2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0" fontId="8" fillId="0" borderId="1" xfId="0" applyNumberFormat="1" applyFont="1" applyBorder="1"/>
    <xf numFmtId="10" fontId="8" fillId="0" borderId="1" xfId="2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9" fillId="0" borderId="2" xfId="2" applyNumberFormat="1" applyFont="1" applyBorder="1"/>
    <xf numFmtId="0" fontId="10" fillId="0" borderId="1" xfId="0" applyFont="1" applyBorder="1" applyAlignment="1">
      <alignment wrapText="1"/>
    </xf>
    <xf numFmtId="0" fontId="11" fillId="0" borderId="0" xfId="0" applyFont="1"/>
    <xf numFmtId="0" fontId="0" fillId="0" borderId="0" xfId="0" applyAlignment="1">
      <alignment horizontal="right"/>
    </xf>
    <xf numFmtId="0" fontId="12" fillId="0" borderId="0" xfId="0" applyFont="1"/>
    <xf numFmtId="2" fontId="0" fillId="0" borderId="0" xfId="0" applyNumberFormat="1"/>
    <xf numFmtId="2" fontId="0" fillId="0" borderId="1" xfId="0" applyNumberFormat="1" applyBorder="1"/>
    <xf numFmtId="0" fontId="8" fillId="0" borderId="1" xfId="0" applyFont="1" applyBorder="1" applyAlignment="1">
      <alignment horizontal="center"/>
    </xf>
    <xf numFmtId="2" fontId="9" fillId="0" borderId="1" xfId="2" applyNumberFormat="1" applyFont="1" applyBorder="1"/>
    <xf numFmtId="2" fontId="8" fillId="0" borderId="1" xfId="0" applyNumberFormat="1" applyFont="1" applyBorder="1"/>
    <xf numFmtId="165" fontId="8" fillId="0" borderId="1" xfId="0" applyNumberFormat="1" applyFon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/>
  </cellXfs>
  <cellStyles count="3">
    <cellStyle name="Įprastas" xfId="0" builtinId="0"/>
    <cellStyle name="Procentai" xfId="2" builtinId="5"/>
    <cellStyle name="Valiuta" xfId="1" builtinId="4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A3" workbookViewId="0">
      <selection activeCell="C10" sqref="C10"/>
    </sheetView>
  </sheetViews>
  <sheetFormatPr defaultRowHeight="15" x14ac:dyDescent="0.25"/>
  <cols>
    <col min="1" max="1" width="4.85546875" customWidth="1"/>
    <col min="2" max="2" width="34.5703125" customWidth="1"/>
    <col min="3" max="3" width="115.7109375" customWidth="1"/>
    <col min="4" max="4" width="16.140625" customWidth="1"/>
  </cols>
  <sheetData>
    <row r="1" spans="1:4" ht="18.75" x14ac:dyDescent="0.3">
      <c r="A1" s="3" t="s">
        <v>33</v>
      </c>
    </row>
    <row r="3" spans="1:4" x14ac:dyDescent="0.25">
      <c r="A3" s="2" t="s">
        <v>34</v>
      </c>
    </row>
    <row r="4" spans="1:4" x14ac:dyDescent="0.25">
      <c r="B4" s="17" t="s">
        <v>35</v>
      </c>
      <c r="C4" s="17" t="s">
        <v>36</v>
      </c>
      <c r="D4" s="17" t="s">
        <v>83</v>
      </c>
    </row>
    <row r="5" spans="1:4" ht="15" customHeight="1" x14ac:dyDescent="0.25">
      <c r="A5">
        <v>1</v>
      </c>
      <c r="B5" s="8" t="s">
        <v>0</v>
      </c>
      <c r="C5" t="s">
        <v>37</v>
      </c>
    </row>
    <row r="6" spans="1:4" ht="15" customHeight="1" x14ac:dyDescent="0.25">
      <c r="A6">
        <v>2</v>
      </c>
      <c r="B6" s="8" t="s">
        <v>8</v>
      </c>
      <c r="C6" t="s">
        <v>38</v>
      </c>
    </row>
    <row r="7" spans="1:4" ht="15" customHeight="1" x14ac:dyDescent="0.25">
      <c r="A7">
        <v>3</v>
      </c>
      <c r="B7" s="8" t="s">
        <v>5</v>
      </c>
      <c r="C7" t="s">
        <v>44</v>
      </c>
      <c r="D7" t="s">
        <v>84</v>
      </c>
    </row>
    <row r="8" spans="1:4" ht="15" customHeight="1" x14ac:dyDescent="0.25">
      <c r="A8">
        <v>4</v>
      </c>
      <c r="B8" s="8" t="s">
        <v>17</v>
      </c>
      <c r="C8" t="s">
        <v>54</v>
      </c>
      <c r="D8" t="s">
        <v>87</v>
      </c>
    </row>
    <row r="9" spans="1:4" ht="15" customHeight="1" x14ac:dyDescent="0.25">
      <c r="A9">
        <v>5</v>
      </c>
      <c r="B9" s="8" t="s">
        <v>9</v>
      </c>
      <c r="C9" t="s">
        <v>48</v>
      </c>
    </row>
    <row r="10" spans="1:4" ht="15" customHeight="1" x14ac:dyDescent="0.25">
      <c r="A10">
        <v>6</v>
      </c>
      <c r="B10" s="8" t="s">
        <v>10</v>
      </c>
      <c r="C10" t="s">
        <v>93</v>
      </c>
      <c r="D10" t="s">
        <v>86</v>
      </c>
    </row>
    <row r="11" spans="1:4" ht="15" customHeight="1" x14ac:dyDescent="0.25">
      <c r="A11">
        <v>7</v>
      </c>
      <c r="B11" s="8" t="s">
        <v>11</v>
      </c>
      <c r="C11" t="s">
        <v>50</v>
      </c>
    </row>
    <row r="12" spans="1:4" ht="15" customHeight="1" x14ac:dyDescent="0.25">
      <c r="A12">
        <v>8</v>
      </c>
      <c r="B12" s="8" t="s">
        <v>12</v>
      </c>
      <c r="C12" t="s">
        <v>94</v>
      </c>
      <c r="D12" t="s">
        <v>85</v>
      </c>
    </row>
    <row r="13" spans="1:4" ht="15" customHeight="1" x14ac:dyDescent="0.25">
      <c r="A13">
        <v>9</v>
      </c>
      <c r="B13" s="8" t="s">
        <v>13</v>
      </c>
      <c r="C13" t="s">
        <v>51</v>
      </c>
    </row>
    <row r="14" spans="1:4" ht="15" customHeight="1" x14ac:dyDescent="0.25"/>
    <row r="16" spans="1:4" x14ac:dyDescent="0.25">
      <c r="A16" s="2" t="s">
        <v>52</v>
      </c>
    </row>
    <row r="17" spans="1:4" x14ac:dyDescent="0.25">
      <c r="B17" t="s">
        <v>35</v>
      </c>
      <c r="C17" t="s">
        <v>36</v>
      </c>
    </row>
    <row r="18" spans="1:4" x14ac:dyDescent="0.25">
      <c r="A18">
        <v>1</v>
      </c>
      <c r="B18" s="10" t="s">
        <v>75</v>
      </c>
      <c r="C18" t="s">
        <v>115</v>
      </c>
    </row>
    <row r="19" spans="1:4" x14ac:dyDescent="0.25">
      <c r="A19">
        <v>2</v>
      </c>
      <c r="B19" s="8" t="s">
        <v>14</v>
      </c>
      <c r="C19" t="s">
        <v>6</v>
      </c>
    </row>
    <row r="20" spans="1:4" x14ac:dyDescent="0.25">
      <c r="A20">
        <v>3</v>
      </c>
      <c r="B20" s="8" t="s">
        <v>15</v>
      </c>
      <c r="C20" t="s">
        <v>122</v>
      </c>
    </row>
    <row r="21" spans="1:4" x14ac:dyDescent="0.25">
      <c r="A21">
        <v>4</v>
      </c>
      <c r="B21" s="8" t="s">
        <v>16</v>
      </c>
      <c r="C21" t="s">
        <v>126</v>
      </c>
      <c r="D21" t="s">
        <v>123</v>
      </c>
    </row>
    <row r="22" spans="1:4" x14ac:dyDescent="0.25">
      <c r="A22">
        <v>5</v>
      </c>
      <c r="B22" s="8" t="s">
        <v>8</v>
      </c>
      <c r="C22" t="s">
        <v>53</v>
      </c>
    </row>
    <row r="23" spans="1:4" ht="17.25" customHeight="1" x14ac:dyDescent="0.25">
      <c r="A23">
        <v>6</v>
      </c>
      <c r="B23" s="8" t="s">
        <v>17</v>
      </c>
      <c r="C23" t="s">
        <v>55</v>
      </c>
      <c r="D23" t="s">
        <v>87</v>
      </c>
    </row>
    <row r="24" spans="1:4" ht="16.5" customHeight="1" x14ac:dyDescent="0.25">
      <c r="A24">
        <v>7</v>
      </c>
      <c r="B24" s="8" t="s">
        <v>9</v>
      </c>
      <c r="C24" t="s">
        <v>56</v>
      </c>
      <c r="D24" t="s">
        <v>87</v>
      </c>
    </row>
    <row r="25" spans="1:4" x14ac:dyDescent="0.25">
      <c r="A25">
        <v>8</v>
      </c>
      <c r="B25" s="8" t="s">
        <v>18</v>
      </c>
      <c r="C25" t="s">
        <v>69</v>
      </c>
    </row>
    <row r="26" spans="1:4" x14ac:dyDescent="0.25">
      <c r="A26">
        <v>9</v>
      </c>
      <c r="B26" s="8" t="s">
        <v>19</v>
      </c>
      <c r="C26" t="s">
        <v>61</v>
      </c>
      <c r="D26" t="s">
        <v>88</v>
      </c>
    </row>
    <row r="27" spans="1:4" x14ac:dyDescent="0.25">
      <c r="A27">
        <v>10</v>
      </c>
      <c r="B27" s="8" t="s">
        <v>20</v>
      </c>
      <c r="C27" t="s">
        <v>62</v>
      </c>
    </row>
    <row r="28" spans="1:4" x14ac:dyDescent="0.25">
      <c r="A28">
        <v>11</v>
      </c>
      <c r="B28" s="8" t="s">
        <v>21</v>
      </c>
      <c r="C28" t="s">
        <v>63</v>
      </c>
      <c r="D28" t="s">
        <v>89</v>
      </c>
    </row>
    <row r="29" spans="1:4" x14ac:dyDescent="0.25">
      <c r="A29">
        <v>12</v>
      </c>
      <c r="B29" s="8" t="s">
        <v>22</v>
      </c>
      <c r="C29" t="s">
        <v>64</v>
      </c>
      <c r="D29" t="s">
        <v>90</v>
      </c>
    </row>
    <row r="30" spans="1:4" ht="16.5" customHeight="1" x14ac:dyDescent="0.25">
      <c r="A30">
        <v>13</v>
      </c>
      <c r="B30" s="8" t="s">
        <v>23</v>
      </c>
      <c r="C30" t="s">
        <v>65</v>
      </c>
      <c r="D30" t="s">
        <v>90</v>
      </c>
    </row>
    <row r="31" spans="1:4" ht="30" x14ac:dyDescent="0.25">
      <c r="A31">
        <v>14</v>
      </c>
      <c r="B31" s="8" t="s">
        <v>24</v>
      </c>
      <c r="C31" s="15">
        <v>0</v>
      </c>
    </row>
    <row r="32" spans="1:4" ht="30" x14ac:dyDescent="0.25">
      <c r="A32">
        <v>15</v>
      </c>
      <c r="B32" s="8" t="s">
        <v>25</v>
      </c>
      <c r="C32" t="s">
        <v>70</v>
      </c>
      <c r="D32" t="s">
        <v>90</v>
      </c>
    </row>
    <row r="33" spans="1:18" x14ac:dyDescent="0.25">
      <c r="A33">
        <v>16</v>
      </c>
      <c r="B33" s="8" t="s">
        <v>26</v>
      </c>
      <c r="C33" t="s">
        <v>66</v>
      </c>
    </row>
    <row r="34" spans="1:18" ht="16.5" customHeight="1" x14ac:dyDescent="0.25">
      <c r="A34">
        <v>17</v>
      </c>
      <c r="B34" s="8" t="s">
        <v>27</v>
      </c>
      <c r="C34" s="5" t="s">
        <v>138</v>
      </c>
      <c r="D34" s="18"/>
      <c r="H34" s="30" t="s">
        <v>127</v>
      </c>
    </row>
    <row r="35" spans="1:18" ht="15.75" x14ac:dyDescent="0.25">
      <c r="A35">
        <v>18</v>
      </c>
      <c r="B35" s="8" t="s">
        <v>114</v>
      </c>
      <c r="C35" t="s">
        <v>116</v>
      </c>
      <c r="D35" t="s">
        <v>92</v>
      </c>
      <c r="G35" s="31" t="s">
        <v>128</v>
      </c>
      <c r="H35" t="s">
        <v>129</v>
      </c>
      <c r="M35" s="32"/>
    </row>
    <row r="36" spans="1:18" ht="17.25" customHeight="1" x14ac:dyDescent="0.25">
      <c r="A36">
        <v>19</v>
      </c>
      <c r="B36" s="8" t="s">
        <v>95</v>
      </c>
      <c r="C36" t="s">
        <v>124</v>
      </c>
      <c r="G36" s="31" t="s">
        <v>130</v>
      </c>
      <c r="H36" t="s">
        <v>131</v>
      </c>
      <c r="R36" t="s">
        <v>132</v>
      </c>
    </row>
    <row r="37" spans="1:18" x14ac:dyDescent="0.25">
      <c r="A37">
        <v>20</v>
      </c>
      <c r="B37" s="8" t="s">
        <v>47</v>
      </c>
      <c r="C37" t="s">
        <v>118</v>
      </c>
      <c r="G37" s="31" t="s">
        <v>133</v>
      </c>
      <c r="H37" t="s">
        <v>134</v>
      </c>
      <c r="R37" t="s">
        <v>135</v>
      </c>
    </row>
    <row r="38" spans="1:18" x14ac:dyDescent="0.25">
      <c r="A38">
        <v>21</v>
      </c>
      <c r="B38" s="8" t="s">
        <v>28</v>
      </c>
      <c r="C38" t="s">
        <v>58</v>
      </c>
      <c r="G38" s="31" t="s">
        <v>136</v>
      </c>
      <c r="H38" t="s">
        <v>137</v>
      </c>
    </row>
    <row r="39" spans="1:18" x14ac:dyDescent="0.25">
      <c r="A39">
        <v>22</v>
      </c>
      <c r="B39" s="8" t="s">
        <v>29</v>
      </c>
      <c r="C39" t="s">
        <v>57</v>
      </c>
    </row>
    <row r="40" spans="1:18" x14ac:dyDescent="0.25">
      <c r="A40">
        <v>23</v>
      </c>
      <c r="B40" s="8" t="s">
        <v>30</v>
      </c>
      <c r="C40" t="s">
        <v>117</v>
      </c>
    </row>
    <row r="41" spans="1:18" ht="15.75" customHeight="1" x14ac:dyDescent="0.25">
      <c r="A41">
        <v>24</v>
      </c>
      <c r="B41" s="8" t="s">
        <v>31</v>
      </c>
      <c r="C41" t="s">
        <v>59</v>
      </c>
      <c r="D41" t="s">
        <v>87</v>
      </c>
    </row>
    <row r="42" spans="1:18" x14ac:dyDescent="0.25">
      <c r="A42">
        <v>25</v>
      </c>
      <c r="B42" s="8" t="s">
        <v>32</v>
      </c>
      <c r="C42" t="s">
        <v>60</v>
      </c>
    </row>
    <row r="43" spans="1:18" x14ac:dyDescent="0.25">
      <c r="A43">
        <v>26</v>
      </c>
      <c r="B43" s="8" t="s">
        <v>4</v>
      </c>
      <c r="C43" t="s">
        <v>68</v>
      </c>
    </row>
    <row r="44" spans="1:18" x14ac:dyDescent="0.25">
      <c r="A44">
        <v>27</v>
      </c>
      <c r="B44" s="8" t="s">
        <v>106</v>
      </c>
      <c r="C44" t="s">
        <v>121</v>
      </c>
    </row>
    <row r="45" spans="1:18" x14ac:dyDescent="0.25">
      <c r="A45">
        <v>28</v>
      </c>
      <c r="B45" s="8" t="s">
        <v>78</v>
      </c>
      <c r="C45" t="s">
        <v>79</v>
      </c>
    </row>
    <row r="47" spans="1:18" ht="16.5" customHeight="1" x14ac:dyDescent="0.25">
      <c r="A47">
        <v>28</v>
      </c>
      <c r="B47" s="39" t="s">
        <v>80</v>
      </c>
      <c r="C47" s="39"/>
    </row>
    <row r="48" spans="1:18" ht="15" customHeight="1" x14ac:dyDescent="0.25">
      <c r="A48">
        <v>29</v>
      </c>
      <c r="B48" s="40" t="s">
        <v>125</v>
      </c>
      <c r="C48" s="40"/>
    </row>
    <row r="49" spans="1:2" x14ac:dyDescent="0.25">
      <c r="A49">
        <v>30</v>
      </c>
      <c r="B49" t="s">
        <v>82</v>
      </c>
    </row>
    <row r="50" spans="1:2" x14ac:dyDescent="0.25">
      <c r="A50">
        <v>31</v>
      </c>
      <c r="B50" t="s">
        <v>81</v>
      </c>
    </row>
    <row r="51" spans="1:2" x14ac:dyDescent="0.25">
      <c r="A51">
        <v>32</v>
      </c>
      <c r="B51" t="s">
        <v>91</v>
      </c>
    </row>
  </sheetData>
  <mergeCells count="2">
    <mergeCell ref="B47:C47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B9" sqref="B9"/>
    </sheetView>
  </sheetViews>
  <sheetFormatPr defaultRowHeight="15" x14ac:dyDescent="0.25"/>
  <cols>
    <col min="1" max="1" width="4.5703125" customWidth="1"/>
    <col min="2" max="2" width="20.85546875" customWidth="1"/>
    <col min="3" max="3" width="15.5703125" customWidth="1"/>
    <col min="4" max="4" width="11.7109375" customWidth="1"/>
  </cols>
  <sheetData>
    <row r="3" spans="1:4" s="5" customFormat="1" ht="31.5" customHeight="1" x14ac:dyDescent="0.25">
      <c r="A3" s="9" t="s">
        <v>0</v>
      </c>
      <c r="B3" s="8" t="s">
        <v>39</v>
      </c>
      <c r="C3" s="8" t="s">
        <v>17</v>
      </c>
      <c r="D3" s="11" t="s">
        <v>42</v>
      </c>
    </row>
    <row r="4" spans="1:4" x14ac:dyDescent="0.25">
      <c r="A4" s="10">
        <v>1</v>
      </c>
      <c r="B4" s="1" t="s">
        <v>3</v>
      </c>
      <c r="C4" s="10">
        <v>2800</v>
      </c>
      <c r="D4" s="10">
        <v>1</v>
      </c>
    </row>
    <row r="5" spans="1:4" x14ac:dyDescent="0.25">
      <c r="A5" s="10">
        <v>2</v>
      </c>
      <c r="B5" s="1" t="s">
        <v>40</v>
      </c>
      <c r="C5" s="10">
        <v>1600</v>
      </c>
      <c r="D5" s="10">
        <v>2</v>
      </c>
    </row>
    <row r="6" spans="1:4" x14ac:dyDescent="0.25">
      <c r="A6" s="10">
        <v>3</v>
      </c>
      <c r="B6" s="1" t="s">
        <v>2</v>
      </c>
      <c r="C6" s="10">
        <v>1505</v>
      </c>
      <c r="D6" s="10">
        <v>1</v>
      </c>
    </row>
    <row r="7" spans="1:4" x14ac:dyDescent="0.25">
      <c r="A7" s="10">
        <v>4</v>
      </c>
      <c r="B7" s="1" t="s">
        <v>1</v>
      </c>
      <c r="C7" s="10">
        <v>1199</v>
      </c>
      <c r="D7" s="10">
        <v>2</v>
      </c>
    </row>
    <row r="8" spans="1:4" x14ac:dyDescent="0.25">
      <c r="A8" s="10">
        <v>5</v>
      </c>
      <c r="B8" s="1" t="s">
        <v>41</v>
      </c>
      <c r="C8" s="10">
        <v>1090</v>
      </c>
      <c r="D8" s="10">
        <v>2</v>
      </c>
    </row>
    <row r="9" spans="1:4" x14ac:dyDescent="0.25">
      <c r="A9" s="10">
        <v>6</v>
      </c>
      <c r="B9" s="1" t="s">
        <v>43</v>
      </c>
      <c r="C9" s="10">
        <v>980</v>
      </c>
      <c r="D9" s="10">
        <v>7</v>
      </c>
    </row>
    <row r="10" spans="1:4" x14ac:dyDescent="0.25">
      <c r="C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>
      <selection activeCell="F28" sqref="F28"/>
    </sheetView>
  </sheetViews>
  <sheetFormatPr defaultRowHeight="15" x14ac:dyDescent="0.25"/>
  <cols>
    <col min="1" max="1" width="5.7109375" customWidth="1"/>
    <col min="2" max="3" width="20.5703125" customWidth="1"/>
    <col min="4" max="4" width="15.28515625" customWidth="1"/>
    <col min="5" max="5" width="13" customWidth="1"/>
    <col min="6" max="6" width="12.28515625" customWidth="1"/>
    <col min="7" max="7" width="18" customWidth="1"/>
    <col min="8" max="8" width="24.5703125" customWidth="1"/>
    <col min="9" max="9" width="23.5703125" customWidth="1"/>
  </cols>
  <sheetData>
    <row r="1" spans="1:13" ht="39" customHeight="1" x14ac:dyDescent="0.25">
      <c r="A1" s="4" t="s">
        <v>7</v>
      </c>
    </row>
    <row r="5" spans="1:13" s="6" customFormat="1" ht="49.5" customHeight="1" x14ac:dyDescent="0.25">
      <c r="A5" s="8" t="s">
        <v>0</v>
      </c>
      <c r="B5" s="8" t="s">
        <v>8</v>
      </c>
      <c r="C5" s="8" t="s">
        <v>5</v>
      </c>
      <c r="D5" s="8" t="s">
        <v>17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13" x14ac:dyDescent="0.25">
      <c r="A6" s="44" t="s">
        <v>155</v>
      </c>
      <c r="B6" s="1" t="s">
        <v>170</v>
      </c>
      <c r="C6" s="1" t="str">
        <f>Pareigybės!B4</f>
        <v>Vadovas</v>
      </c>
      <c r="D6" s="45">
        <f>VLOOKUP(C6,Pareigybės!$B$4:$C$9,2,FALSE)</f>
        <v>2800</v>
      </c>
      <c r="E6" s="45"/>
      <c r="F6" s="45">
        <f ca="1">CHOOSE(RANDBETWEEN(1,2),150,200)</f>
        <v>200</v>
      </c>
      <c r="G6" s="10" t="s">
        <v>49</v>
      </c>
      <c r="H6" s="1"/>
      <c r="I6" s="1" t="s">
        <v>139</v>
      </c>
    </row>
    <row r="7" spans="1:13" x14ac:dyDescent="0.25">
      <c r="A7" s="44" t="s">
        <v>156</v>
      </c>
      <c r="B7" s="1" t="s">
        <v>171</v>
      </c>
      <c r="C7" s="1" t="str">
        <f>Pareigybės!B5</f>
        <v>Buhalterė</v>
      </c>
      <c r="D7" s="45">
        <f>VLOOKUP(C7,Pareigybės!$B$4:$C$9,2,FALSE)</f>
        <v>1600</v>
      </c>
      <c r="E7" s="45"/>
      <c r="F7" s="45">
        <f t="shared" ref="F7:F20" ca="1" si="0">CHOOSE(RANDBETWEEN(1,2),150,200)</f>
        <v>150</v>
      </c>
      <c r="G7" s="10" t="s">
        <v>49</v>
      </c>
      <c r="H7" s="1"/>
      <c r="I7" s="1" t="s">
        <v>140</v>
      </c>
    </row>
    <row r="8" spans="1:13" x14ac:dyDescent="0.25">
      <c r="A8" s="44" t="s">
        <v>157</v>
      </c>
      <c r="B8" s="1" t="s">
        <v>172</v>
      </c>
      <c r="C8" s="1" t="str">
        <f>Pareigybės!B5</f>
        <v>Buhalterė</v>
      </c>
      <c r="D8" s="45">
        <f>VLOOKUP(C8,Pareigybės!$B$4:$C$9,2,FALSE)</f>
        <v>1600</v>
      </c>
      <c r="E8" s="45"/>
      <c r="F8" s="45">
        <f t="shared" ca="1" si="0"/>
        <v>150</v>
      </c>
      <c r="G8" s="10" t="s">
        <v>49</v>
      </c>
      <c r="H8" s="1"/>
      <c r="I8" s="1" t="s">
        <v>141</v>
      </c>
    </row>
    <row r="9" spans="1:13" x14ac:dyDescent="0.25">
      <c r="A9" s="44" t="s">
        <v>158</v>
      </c>
      <c r="B9" s="1" t="s">
        <v>173</v>
      </c>
      <c r="C9" s="1" t="str">
        <f>Pareigybės!B6</f>
        <v>Administratorė</v>
      </c>
      <c r="D9" s="45">
        <f>VLOOKUP(C9,Pareigybės!$B$4:$C$9,2,FALSE)</f>
        <v>1505</v>
      </c>
      <c r="E9" s="45"/>
      <c r="F9" s="45">
        <f t="shared" ca="1" si="0"/>
        <v>200</v>
      </c>
      <c r="G9" s="10" t="s">
        <v>49</v>
      </c>
      <c r="H9" s="1"/>
      <c r="I9" s="1" t="s">
        <v>142</v>
      </c>
    </row>
    <row r="10" spans="1:13" x14ac:dyDescent="0.25">
      <c r="A10" s="44" t="s">
        <v>159</v>
      </c>
      <c r="B10" s="1" t="s">
        <v>174</v>
      </c>
      <c r="C10" s="1" t="str">
        <f>Pareigybės!B7</f>
        <v>Vadybininkas</v>
      </c>
      <c r="D10" s="45">
        <f>VLOOKUP(C10,Pareigybės!$B$4:$C$9,2,FALSE)</f>
        <v>1199</v>
      </c>
      <c r="E10" s="45"/>
      <c r="F10" s="45">
        <f t="shared" ca="1" si="0"/>
        <v>200</v>
      </c>
      <c r="G10" s="10" t="s">
        <v>49</v>
      </c>
      <c r="H10" s="1"/>
      <c r="I10" s="1" t="s">
        <v>143</v>
      </c>
      <c r="M10" s="33"/>
    </row>
    <row r="11" spans="1:13" x14ac:dyDescent="0.25">
      <c r="A11" s="44" t="s">
        <v>160</v>
      </c>
      <c r="B11" s="1" t="s">
        <v>175</v>
      </c>
      <c r="C11" s="1" t="str">
        <f>Pareigybės!B7</f>
        <v>Vadybininkas</v>
      </c>
      <c r="D11" s="45">
        <f>VLOOKUP(C11,Pareigybės!$B$4:$C$9,2,FALSE)</f>
        <v>1199</v>
      </c>
      <c r="E11" s="45"/>
      <c r="F11" s="45">
        <f t="shared" ca="1" si="0"/>
        <v>150</v>
      </c>
      <c r="G11" s="10" t="s">
        <v>49</v>
      </c>
      <c r="H11" s="1"/>
      <c r="I11" s="1" t="s">
        <v>144</v>
      </c>
      <c r="M11" s="33"/>
    </row>
    <row r="12" spans="1:13" x14ac:dyDescent="0.25">
      <c r="A12" s="44" t="s">
        <v>161</v>
      </c>
      <c r="B12" s="1" t="s">
        <v>176</v>
      </c>
      <c r="C12" s="1" t="str">
        <f>Pareigybės!B8</f>
        <v>Sandėlininkas</v>
      </c>
      <c r="D12" s="45">
        <f>VLOOKUP(C12,Pareigybės!$B$4:$C$9,2,FALSE)</f>
        <v>1090</v>
      </c>
      <c r="E12" s="45"/>
      <c r="F12" s="45">
        <f t="shared" ca="1" si="0"/>
        <v>200</v>
      </c>
      <c r="G12" s="10" t="s">
        <v>49</v>
      </c>
      <c r="H12" s="1"/>
      <c r="I12" s="1" t="s">
        <v>145</v>
      </c>
    </row>
    <row r="13" spans="1:13" x14ac:dyDescent="0.25">
      <c r="A13" s="44" t="s">
        <v>162</v>
      </c>
      <c r="B13" s="1" t="s">
        <v>177</v>
      </c>
      <c r="C13" s="1" t="str">
        <f>Pareigybės!B8</f>
        <v>Sandėlininkas</v>
      </c>
      <c r="D13" s="45">
        <f>VLOOKUP(C13,Pareigybės!$B$4:$C$9,2,FALSE)</f>
        <v>1090</v>
      </c>
      <c r="E13" s="45"/>
      <c r="F13" s="45">
        <f t="shared" ca="1" si="0"/>
        <v>200</v>
      </c>
      <c r="G13" s="10" t="s">
        <v>49</v>
      </c>
      <c r="H13" s="1"/>
      <c r="I13" s="1" t="s">
        <v>146</v>
      </c>
    </row>
    <row r="14" spans="1:13" x14ac:dyDescent="0.25">
      <c r="A14" s="44" t="s">
        <v>163</v>
      </c>
      <c r="B14" s="1" t="s">
        <v>178</v>
      </c>
      <c r="C14" s="1" t="str">
        <f>Pareigybės!B9</f>
        <v>Gamybos darbuotojas</v>
      </c>
      <c r="D14" s="45">
        <f>VLOOKUP(C14,Pareigybės!$B$4:$C$9,2,FALSE)</f>
        <v>980</v>
      </c>
      <c r="E14" s="45"/>
      <c r="F14" s="45">
        <f t="shared" ca="1" si="0"/>
        <v>200</v>
      </c>
      <c r="G14" s="10" t="s">
        <v>49</v>
      </c>
      <c r="H14" s="1"/>
      <c r="I14" s="1" t="s">
        <v>147</v>
      </c>
    </row>
    <row r="15" spans="1:13" x14ac:dyDescent="0.25">
      <c r="A15" s="44" t="s">
        <v>164</v>
      </c>
      <c r="B15" s="1" t="s">
        <v>179</v>
      </c>
      <c r="C15" s="1" t="str">
        <f>Pareigybės!B9</f>
        <v>Gamybos darbuotojas</v>
      </c>
      <c r="D15" s="45">
        <f>VLOOKUP(C15,Pareigybės!$B$4:$C$9,2,FALSE)</f>
        <v>980</v>
      </c>
      <c r="E15" s="45"/>
      <c r="F15" s="45">
        <f t="shared" ca="1" si="0"/>
        <v>150</v>
      </c>
      <c r="G15" s="10" t="s">
        <v>49</v>
      </c>
      <c r="H15" s="1"/>
      <c r="I15" s="1" t="s">
        <v>148</v>
      </c>
    </row>
    <row r="16" spans="1:13" x14ac:dyDescent="0.25">
      <c r="A16" s="44" t="s">
        <v>165</v>
      </c>
      <c r="B16" s="1" t="s">
        <v>180</v>
      </c>
      <c r="C16" s="1" t="str">
        <f>Pareigybės!B9</f>
        <v>Gamybos darbuotojas</v>
      </c>
      <c r="D16" s="45">
        <f>VLOOKUP(C16,Pareigybės!$B$4:$C$9,2,FALSE)</f>
        <v>980</v>
      </c>
      <c r="E16" s="45"/>
      <c r="F16" s="45">
        <f t="shared" ca="1" si="0"/>
        <v>150</v>
      </c>
      <c r="G16" s="10" t="s">
        <v>49</v>
      </c>
      <c r="H16" s="1"/>
      <c r="I16" s="1" t="s">
        <v>149</v>
      </c>
    </row>
    <row r="17" spans="1:9" x14ac:dyDescent="0.25">
      <c r="A17" s="44" t="s">
        <v>166</v>
      </c>
      <c r="B17" s="1" t="s">
        <v>181</v>
      </c>
      <c r="C17" s="1" t="str">
        <f>Pareigybės!B9</f>
        <v>Gamybos darbuotojas</v>
      </c>
      <c r="D17" s="45">
        <f>VLOOKUP(C17,Pareigybės!$B$4:$C$9,2,FALSE)</f>
        <v>980</v>
      </c>
      <c r="E17" s="45"/>
      <c r="F17" s="45">
        <f t="shared" ca="1" si="0"/>
        <v>200</v>
      </c>
      <c r="G17" s="10" t="s">
        <v>49</v>
      </c>
      <c r="H17" s="1"/>
      <c r="I17" s="1" t="s">
        <v>150</v>
      </c>
    </row>
    <row r="18" spans="1:9" x14ac:dyDescent="0.25">
      <c r="A18" s="44" t="s">
        <v>167</v>
      </c>
      <c r="B18" s="1" t="s">
        <v>182</v>
      </c>
      <c r="C18" s="1" t="str">
        <f>Pareigybės!B9</f>
        <v>Gamybos darbuotojas</v>
      </c>
      <c r="D18" s="45">
        <f>VLOOKUP(C18,Pareigybės!$B$4:$C$9,2,FALSE)</f>
        <v>980</v>
      </c>
      <c r="E18" s="45"/>
      <c r="F18" s="45">
        <f t="shared" ca="1" si="0"/>
        <v>200</v>
      </c>
      <c r="G18" s="10" t="s">
        <v>49</v>
      </c>
      <c r="H18" s="1"/>
      <c r="I18" s="1" t="s">
        <v>151</v>
      </c>
    </row>
    <row r="19" spans="1:9" x14ac:dyDescent="0.25">
      <c r="A19" s="44" t="s">
        <v>168</v>
      </c>
      <c r="B19" s="1" t="s">
        <v>183</v>
      </c>
      <c r="C19" s="1" t="str">
        <f>Pareigybės!B9</f>
        <v>Gamybos darbuotojas</v>
      </c>
      <c r="D19" s="45">
        <f>VLOOKUP(C19,Pareigybės!$B$4:$C$9,2,FALSE)</f>
        <v>980</v>
      </c>
      <c r="E19" s="45"/>
      <c r="F19" s="45">
        <f t="shared" ca="1" si="0"/>
        <v>200</v>
      </c>
      <c r="G19" s="10" t="s">
        <v>49</v>
      </c>
      <c r="H19" s="1"/>
      <c r="I19" s="1" t="s">
        <v>152</v>
      </c>
    </row>
    <row r="20" spans="1:9" x14ac:dyDescent="0.25">
      <c r="A20" s="44" t="s">
        <v>169</v>
      </c>
      <c r="B20" s="1" t="s">
        <v>184</v>
      </c>
      <c r="C20" s="1" t="str">
        <f>Pareigybės!B9</f>
        <v>Gamybos darbuotojas</v>
      </c>
      <c r="D20" s="45">
        <f>VLOOKUP(C20,Pareigybės!$B$4:$C$9,2,FALSE)</f>
        <v>980</v>
      </c>
      <c r="E20" s="45"/>
      <c r="F20" s="45">
        <f t="shared" ca="1" si="0"/>
        <v>150</v>
      </c>
      <c r="G20" s="10" t="s">
        <v>49</v>
      </c>
      <c r="H20" s="1"/>
      <c r="I20" s="1" t="s">
        <v>153</v>
      </c>
    </row>
    <row r="27" spans="1:9" x14ac:dyDescent="0.25">
      <c r="B27" s="14"/>
      <c r="C27" s="12"/>
      <c r="H27" s="12"/>
    </row>
    <row r="28" spans="1:9" x14ac:dyDescent="0.25">
      <c r="B28" s="14"/>
      <c r="C28" s="12"/>
      <c r="H28" s="12"/>
    </row>
    <row r="29" spans="1:9" x14ac:dyDescent="0.25">
      <c r="C29" s="12"/>
      <c r="H29" s="12"/>
    </row>
    <row r="30" spans="1:9" x14ac:dyDescent="0.25">
      <c r="C30" s="12"/>
      <c r="H30" s="12"/>
    </row>
    <row r="31" spans="1:9" x14ac:dyDescent="0.25">
      <c r="C31" s="12"/>
      <c r="H31" s="12"/>
    </row>
    <row r="32" spans="1:9" x14ac:dyDescent="0.25">
      <c r="C32" s="13"/>
      <c r="H32" s="13"/>
    </row>
    <row r="33" spans="3:8" x14ac:dyDescent="0.25">
      <c r="C33" s="12"/>
      <c r="H33" s="12"/>
    </row>
    <row r="34" spans="3:8" x14ac:dyDescent="0.25">
      <c r="C34" s="12"/>
      <c r="H34" s="12"/>
    </row>
    <row r="35" spans="3:8" x14ac:dyDescent="0.25">
      <c r="C35" s="12"/>
      <c r="H35" s="12"/>
    </row>
    <row r="36" spans="3:8" x14ac:dyDescent="0.25">
      <c r="C36" s="12"/>
      <c r="H36" s="12"/>
    </row>
    <row r="37" spans="3:8" x14ac:dyDescent="0.25">
      <c r="C37" s="12"/>
      <c r="H37" s="12"/>
    </row>
    <row r="38" spans="3:8" x14ac:dyDescent="0.25">
      <c r="C38" s="12"/>
      <c r="H38" s="12"/>
    </row>
    <row r="39" spans="3:8" x14ac:dyDescent="0.25">
      <c r="C39" s="12"/>
      <c r="H39" s="12"/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4"/>
  <sheetViews>
    <sheetView zoomScale="85" zoomScaleNormal="85" workbookViewId="0">
      <selection activeCell="S4" sqref="S4"/>
    </sheetView>
  </sheetViews>
  <sheetFormatPr defaultColWidth="9.140625" defaultRowHeight="15" x14ac:dyDescent="0.25"/>
  <cols>
    <col min="1" max="1" width="24.28515625" style="19" bestFit="1" customWidth="1"/>
    <col min="2" max="2" width="4.85546875" style="19" customWidth="1"/>
    <col min="3" max="3" width="22.5703125" style="19" customWidth="1"/>
    <col min="4" max="4" width="18.5703125" style="19" customWidth="1"/>
    <col min="5" max="5" width="12.140625" style="19" customWidth="1"/>
    <col min="6" max="6" width="11.7109375" style="19" customWidth="1"/>
    <col min="7" max="7" width="11.5703125" style="19" customWidth="1"/>
    <col min="8" max="8" width="9.5703125" style="19" customWidth="1"/>
    <col min="9" max="9" width="10.85546875" style="19" customWidth="1"/>
    <col min="10" max="10" width="13.28515625" style="19" customWidth="1"/>
    <col min="11" max="11" width="12.28515625" style="19" customWidth="1"/>
    <col min="12" max="12" width="12.7109375" style="19" customWidth="1"/>
    <col min="13" max="13" width="13.28515625" style="19" customWidth="1"/>
    <col min="14" max="14" width="15" style="19" customWidth="1"/>
    <col min="15" max="15" width="13.28515625" style="19" customWidth="1"/>
    <col min="16" max="16" width="11" style="19" customWidth="1"/>
    <col min="17" max="17" width="10.140625" style="19" customWidth="1"/>
    <col min="18" max="18" width="8.7109375" style="19" customWidth="1"/>
    <col min="19" max="19" width="10.85546875" style="19" customWidth="1"/>
    <col min="20" max="20" width="11.42578125" style="19" customWidth="1"/>
    <col min="21" max="21" width="11.7109375" style="19" customWidth="1"/>
    <col min="22" max="22" width="11.28515625" style="19" customWidth="1"/>
    <col min="23" max="23" width="11.5703125" style="19" customWidth="1"/>
    <col min="24" max="24" width="13.5703125" style="19" bestFit="1" customWidth="1"/>
    <col min="25" max="25" width="11" style="19" customWidth="1"/>
    <col min="26" max="16384" width="9.140625" style="19"/>
  </cols>
  <sheetData>
    <row r="1" spans="1:25" ht="18.75" customHeight="1" x14ac:dyDescent="0.25">
      <c r="A1" s="2" t="s">
        <v>71</v>
      </c>
      <c r="F1" s="20" t="s">
        <v>112</v>
      </c>
      <c r="G1" s="21">
        <v>0.2</v>
      </c>
      <c r="J1" s="41" t="s">
        <v>4</v>
      </c>
      <c r="K1" s="41"/>
      <c r="L1" s="22">
        <v>2E-3</v>
      </c>
      <c r="N1" s="43" t="s">
        <v>97</v>
      </c>
      <c r="O1" s="43"/>
      <c r="P1" s="43"/>
      <c r="Q1" s="43"/>
      <c r="R1" s="28">
        <v>1.6000000000000001E-3</v>
      </c>
      <c r="S1" s="36"/>
    </row>
    <row r="2" spans="1:25" ht="15.75" customHeight="1" x14ac:dyDescent="0.25">
      <c r="A2" s="19" t="s">
        <v>72</v>
      </c>
      <c r="F2" s="20" t="s">
        <v>113</v>
      </c>
      <c r="G2" s="21">
        <v>0.27</v>
      </c>
      <c r="J2" s="42" t="s">
        <v>76</v>
      </c>
      <c r="K2" s="42"/>
      <c r="L2" s="23"/>
      <c r="N2" s="43" t="s">
        <v>98</v>
      </c>
      <c r="O2" s="43"/>
      <c r="P2" s="43"/>
      <c r="Q2" s="43"/>
      <c r="R2" s="24">
        <v>1.4E-3</v>
      </c>
      <c r="S2" s="37"/>
    </row>
    <row r="3" spans="1:25" ht="17.25" customHeight="1" x14ac:dyDescent="0.25">
      <c r="A3" s="2" t="s">
        <v>73</v>
      </c>
      <c r="F3" s="20" t="s">
        <v>45</v>
      </c>
      <c r="G3" s="25">
        <v>0.1429</v>
      </c>
    </row>
    <row r="4" spans="1:25" ht="14.25" customHeight="1" x14ac:dyDescent="0.25">
      <c r="A4" s="2"/>
      <c r="F4" s="20" t="s">
        <v>96</v>
      </c>
      <c r="G4" s="25">
        <v>6.9800000000000001E-2</v>
      </c>
    </row>
    <row r="5" spans="1:25" x14ac:dyDescent="0.25">
      <c r="A5" s="2"/>
      <c r="F5" s="20" t="s">
        <v>46</v>
      </c>
      <c r="G5" s="25">
        <v>1.77E-2</v>
      </c>
    </row>
    <row r="6" spans="1:25" x14ac:dyDescent="0.25">
      <c r="F6" s="20" t="s">
        <v>47</v>
      </c>
      <c r="G6" s="21">
        <v>0.03</v>
      </c>
    </row>
    <row r="7" spans="1:25" x14ac:dyDescent="0.25">
      <c r="A7" s="16" t="s">
        <v>74</v>
      </c>
      <c r="F7" s="20" t="s">
        <v>67</v>
      </c>
      <c r="G7" s="21">
        <v>0.65</v>
      </c>
      <c r="I7" s="19" t="s">
        <v>77</v>
      </c>
      <c r="J7" s="23">
        <f>SUM(J10:J24)</f>
        <v>0</v>
      </c>
      <c r="K7" s="23">
        <f t="shared" ref="K7:X7" si="0">SUM(K10:K24)</f>
        <v>0</v>
      </c>
      <c r="L7" s="23">
        <f t="shared" si="0"/>
        <v>0</v>
      </c>
      <c r="M7" s="23">
        <f t="shared" si="0"/>
        <v>0</v>
      </c>
      <c r="N7" s="23">
        <f t="shared" si="0"/>
        <v>0</v>
      </c>
      <c r="O7" s="23">
        <f t="shared" si="0"/>
        <v>0</v>
      </c>
      <c r="P7" s="23">
        <f t="shared" si="0"/>
        <v>0</v>
      </c>
      <c r="Q7" s="23">
        <f t="shared" si="0"/>
        <v>0</v>
      </c>
      <c r="R7" s="23">
        <f t="shared" si="0"/>
        <v>0</v>
      </c>
      <c r="S7" s="23">
        <f t="shared" si="0"/>
        <v>0</v>
      </c>
      <c r="T7" s="23">
        <f t="shared" si="0"/>
        <v>0</v>
      </c>
      <c r="U7" s="23">
        <f t="shared" si="0"/>
        <v>0</v>
      </c>
      <c r="V7" s="23">
        <f t="shared" si="0"/>
        <v>0</v>
      </c>
      <c r="W7" s="23">
        <f t="shared" si="0"/>
        <v>0</v>
      </c>
      <c r="X7" s="23">
        <f t="shared" si="0"/>
        <v>0</v>
      </c>
      <c r="Y7" s="23">
        <f>SUM(Y10:Y24)</f>
        <v>0</v>
      </c>
    </row>
    <row r="9" spans="1:25" s="27" customFormat="1" ht="60" x14ac:dyDescent="0.25">
      <c r="A9" s="26" t="s">
        <v>14</v>
      </c>
      <c r="B9" s="26" t="s">
        <v>15</v>
      </c>
      <c r="C9" s="26" t="s">
        <v>16</v>
      </c>
      <c r="D9" s="26" t="s">
        <v>8</v>
      </c>
      <c r="E9" s="26" t="s">
        <v>101</v>
      </c>
      <c r="F9" s="26" t="s">
        <v>102</v>
      </c>
      <c r="G9" s="26" t="s">
        <v>18</v>
      </c>
      <c r="H9" s="26" t="s">
        <v>19</v>
      </c>
      <c r="I9" s="26" t="s">
        <v>20</v>
      </c>
      <c r="J9" s="26" t="s">
        <v>103</v>
      </c>
      <c r="K9" s="26" t="s">
        <v>104</v>
      </c>
      <c r="L9" s="26" t="s">
        <v>23</v>
      </c>
      <c r="M9" s="26" t="s">
        <v>24</v>
      </c>
      <c r="N9" s="26" t="s">
        <v>25</v>
      </c>
      <c r="O9" s="26" t="s">
        <v>26</v>
      </c>
      <c r="P9" s="26" t="s">
        <v>105</v>
      </c>
      <c r="Q9" s="26" t="s">
        <v>111</v>
      </c>
      <c r="R9" s="26" t="s">
        <v>99</v>
      </c>
      <c r="S9" s="26" t="s">
        <v>100</v>
      </c>
      <c r="T9" s="26" t="s">
        <v>47</v>
      </c>
      <c r="U9" s="26" t="s">
        <v>28</v>
      </c>
      <c r="V9" s="26" t="s">
        <v>29</v>
      </c>
      <c r="W9" s="26" t="s">
        <v>30</v>
      </c>
      <c r="X9" s="26" t="s">
        <v>31</v>
      </c>
      <c r="Y9" s="26" t="s">
        <v>32</v>
      </c>
    </row>
    <row r="10" spans="1:25" x14ac:dyDescent="0.25">
      <c r="A10" s="23" t="s">
        <v>154</v>
      </c>
      <c r="B10" s="35"/>
      <c r="C10" s="38"/>
      <c r="D10" s="1"/>
      <c r="E10" s="23"/>
      <c r="F10" s="37"/>
      <c r="G10" s="23"/>
      <c r="H10" s="23"/>
      <c r="I10" s="23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x14ac:dyDescent="0.25">
      <c r="A11" s="23" t="s">
        <v>154</v>
      </c>
      <c r="B11" s="35"/>
      <c r="C11" s="38"/>
      <c r="D11" s="1"/>
      <c r="E11" s="23"/>
      <c r="F11" s="37"/>
      <c r="G11" s="23"/>
      <c r="H11" s="23"/>
      <c r="I11" s="23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x14ac:dyDescent="0.25">
      <c r="A12" s="23" t="s">
        <v>154</v>
      </c>
      <c r="B12" s="35"/>
      <c r="C12" s="38"/>
      <c r="D12" s="1"/>
      <c r="E12" s="23"/>
      <c r="F12" s="37"/>
      <c r="G12" s="23"/>
      <c r="H12" s="23"/>
      <c r="I12" s="23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x14ac:dyDescent="0.25">
      <c r="A13" s="23" t="s">
        <v>154</v>
      </c>
      <c r="B13" s="35"/>
      <c r="C13" s="38"/>
      <c r="D13" s="1"/>
      <c r="E13" s="23"/>
      <c r="F13" s="37"/>
      <c r="G13" s="23"/>
      <c r="H13" s="23"/>
      <c r="I13" s="23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x14ac:dyDescent="0.25">
      <c r="A14" s="23" t="s">
        <v>154</v>
      </c>
      <c r="B14" s="35"/>
      <c r="C14" s="38"/>
      <c r="D14" s="1"/>
      <c r="E14" s="23"/>
      <c r="F14" s="37"/>
      <c r="G14" s="23"/>
      <c r="H14" s="23"/>
      <c r="I14" s="23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x14ac:dyDescent="0.25">
      <c r="A15" s="23" t="s">
        <v>154</v>
      </c>
      <c r="B15" s="35"/>
      <c r="C15" s="38"/>
      <c r="D15" s="1"/>
      <c r="E15" s="23"/>
      <c r="F15" s="37"/>
      <c r="G15" s="23"/>
      <c r="H15" s="23"/>
      <c r="I15" s="23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x14ac:dyDescent="0.25">
      <c r="A16" s="23" t="s">
        <v>154</v>
      </c>
      <c r="B16" s="35"/>
      <c r="C16" s="38"/>
      <c r="D16" s="1"/>
      <c r="E16" s="23"/>
      <c r="F16" s="37"/>
      <c r="G16" s="23"/>
      <c r="H16" s="23"/>
      <c r="I16" s="23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x14ac:dyDescent="0.25">
      <c r="A17" s="23" t="s">
        <v>154</v>
      </c>
      <c r="B17" s="35"/>
      <c r="C17" s="38"/>
      <c r="D17" s="1"/>
      <c r="E17" s="23"/>
      <c r="F17" s="37"/>
      <c r="G17" s="23"/>
      <c r="H17" s="23"/>
      <c r="I17" s="23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x14ac:dyDescent="0.25">
      <c r="A18" s="23" t="s">
        <v>154</v>
      </c>
      <c r="B18" s="35"/>
      <c r="C18" s="38"/>
      <c r="D18" s="1"/>
      <c r="E18" s="23"/>
      <c r="F18" s="37"/>
      <c r="G18" s="23"/>
      <c r="H18" s="23"/>
      <c r="I18" s="23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x14ac:dyDescent="0.25">
      <c r="A19" s="23" t="s">
        <v>154</v>
      </c>
      <c r="B19" s="35"/>
      <c r="C19" s="38"/>
      <c r="D19" s="1"/>
      <c r="E19" s="23"/>
      <c r="F19" s="37"/>
      <c r="G19" s="23"/>
      <c r="H19" s="23"/>
      <c r="I19" s="23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x14ac:dyDescent="0.25">
      <c r="A20" s="23" t="s">
        <v>154</v>
      </c>
      <c r="B20" s="35"/>
      <c r="C20" s="38"/>
      <c r="D20" s="1"/>
      <c r="E20" s="23"/>
      <c r="F20" s="37"/>
      <c r="G20" s="23"/>
      <c r="H20" s="23"/>
      <c r="I20" s="23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x14ac:dyDescent="0.25">
      <c r="A21" s="23" t="s">
        <v>154</v>
      </c>
      <c r="B21" s="35"/>
      <c r="C21" s="38"/>
      <c r="D21" s="1"/>
      <c r="E21" s="23"/>
      <c r="F21" s="37"/>
      <c r="G21" s="23"/>
      <c r="H21" s="23"/>
      <c r="I21" s="23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x14ac:dyDescent="0.25">
      <c r="A22" s="23" t="s">
        <v>154</v>
      </c>
      <c r="B22" s="35"/>
      <c r="C22" s="38"/>
      <c r="D22" s="1"/>
      <c r="E22" s="23"/>
      <c r="F22" s="37"/>
      <c r="G22" s="23"/>
      <c r="H22" s="23"/>
      <c r="I22" s="23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x14ac:dyDescent="0.25">
      <c r="A23" s="23" t="s">
        <v>154</v>
      </c>
      <c r="B23" s="35"/>
      <c r="C23" s="38"/>
      <c r="D23" s="1"/>
      <c r="E23" s="23"/>
      <c r="F23" s="37"/>
      <c r="G23" s="23"/>
      <c r="H23" s="23"/>
      <c r="I23" s="23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x14ac:dyDescent="0.25">
      <c r="A24" s="23" t="s">
        <v>154</v>
      </c>
      <c r="B24" s="35"/>
      <c r="C24" s="38"/>
      <c r="D24" s="1"/>
      <c r="E24" s="23"/>
      <c r="F24" s="37"/>
      <c r="G24" s="23"/>
      <c r="H24" s="23"/>
      <c r="I24" s="23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</sheetData>
  <sortState xmlns:xlrd2="http://schemas.microsoft.com/office/spreadsheetml/2017/richdata2" ref="D10:Y24">
    <sortCondition descending="1" ref="E10:E24"/>
  </sortState>
  <mergeCells count="4">
    <mergeCell ref="J1:K1"/>
    <mergeCell ref="J2:K2"/>
    <mergeCell ref="N1:Q1"/>
    <mergeCell ref="N2:Q2"/>
  </mergeCells>
  <conditionalFormatting sqref="V10:V24">
    <cfRule type="top10" dxfId="0" priority="1" bottom="1" rank="5"/>
    <cfRule type="top10" priority="2" bottom="1" rank="5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"/>
  <sheetViews>
    <sheetView workbookViewId="0">
      <selection activeCell="C3" sqref="C3:C8"/>
    </sheetView>
  </sheetViews>
  <sheetFormatPr defaultRowHeight="15" x14ac:dyDescent="0.25"/>
  <cols>
    <col min="1" max="1" width="7.140625" customWidth="1"/>
    <col min="2" max="2" width="47.140625" customWidth="1"/>
    <col min="3" max="3" width="16.7109375" customWidth="1"/>
    <col min="4" max="4" width="13.7109375" customWidth="1"/>
    <col min="5" max="5" width="15.42578125" customWidth="1"/>
  </cols>
  <sheetData>
    <row r="3" spans="1:3" x14ac:dyDescent="0.25">
      <c r="A3" s="1">
        <v>1</v>
      </c>
      <c r="B3" s="1" t="s">
        <v>109</v>
      </c>
      <c r="C3" s="1"/>
    </row>
    <row r="4" spans="1:3" ht="30" x14ac:dyDescent="0.25">
      <c r="A4" s="1">
        <v>2</v>
      </c>
      <c r="B4" s="29" t="s">
        <v>120</v>
      </c>
      <c r="C4" s="34"/>
    </row>
    <row r="5" spans="1:3" x14ac:dyDescent="0.25">
      <c r="A5" s="1">
        <v>3</v>
      </c>
      <c r="B5" s="1" t="s">
        <v>107</v>
      </c>
      <c r="C5" s="34"/>
    </row>
    <row r="6" spans="1:3" ht="30" x14ac:dyDescent="0.25">
      <c r="A6" s="1">
        <v>4</v>
      </c>
      <c r="B6" s="29" t="s">
        <v>119</v>
      </c>
      <c r="C6" s="34"/>
    </row>
    <row r="7" spans="1:3" x14ac:dyDescent="0.25">
      <c r="A7" s="1">
        <v>5</v>
      </c>
      <c r="B7" s="1" t="s">
        <v>108</v>
      </c>
      <c r="C7" s="34"/>
    </row>
    <row r="8" spans="1:3" x14ac:dyDescent="0.25">
      <c r="A8" s="1">
        <v>6</v>
      </c>
      <c r="B8" s="1" t="s">
        <v>110</v>
      </c>
      <c r="C8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Užduotis</vt:lpstr>
      <vt:lpstr>Pareigybės</vt:lpstr>
      <vt:lpstr>Darbuotojai</vt:lpstr>
      <vt:lpstr>Darbo užmokestis</vt:lpstr>
      <vt:lpstr>suvestinė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Mokinys_15</cp:lastModifiedBy>
  <dcterms:created xsi:type="dcterms:W3CDTF">2018-12-13T14:39:32Z</dcterms:created>
  <dcterms:modified xsi:type="dcterms:W3CDTF">2026-04-27T10:50:35Z</dcterms:modified>
</cp:coreProperties>
</file>