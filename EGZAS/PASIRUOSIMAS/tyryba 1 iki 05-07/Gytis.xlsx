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naujas_serveris\4kt2\PASIRUOSIMAS\tyryba 1 iki 05-07\"/>
    </mc:Choice>
  </mc:AlternateContent>
  <xr:revisionPtr revIDLastSave="0" documentId="13_ncr:1_{0BAFAF6A-1AF2-4BB8-A330-AD739013D111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Užduotis" sheetId="4" r:id="rId1"/>
    <sheet name="Pareigybės" sheetId="5" r:id="rId2"/>
    <sheet name="Darbuotojai" sheetId="2" r:id="rId3"/>
    <sheet name="Darbo užmokestis" sheetId="3" r:id="rId4"/>
    <sheet name="suvestinė" sheetId="6" r:id="rId5"/>
  </sheets>
  <definedNames>
    <definedName name="_xlnm._FilterDatabase" localSheetId="3" hidden="1">'Darbo užmokestis'!$E$9:$E$24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0" i="3" l="1"/>
  <c r="H10" i="3" s="1"/>
  <c r="G11" i="3"/>
  <c r="H11" i="3" s="1"/>
  <c r="I11" i="3" s="1"/>
  <c r="G12" i="3"/>
  <c r="H12" i="3" s="1"/>
  <c r="I12" i="3" s="1"/>
  <c r="G13" i="3"/>
  <c r="H13" i="3" s="1"/>
  <c r="I13" i="3" s="1"/>
  <c r="G14" i="3"/>
  <c r="H14" i="3" s="1"/>
  <c r="I14" i="3" s="1"/>
  <c r="G15" i="3"/>
  <c r="H15" i="3" s="1"/>
  <c r="I15" i="3" s="1"/>
  <c r="G16" i="3"/>
  <c r="H16" i="3" s="1"/>
  <c r="I16" i="3" s="1"/>
  <c r="G17" i="3"/>
  <c r="H17" i="3" s="1"/>
  <c r="I17" i="3" s="1"/>
  <c r="G18" i="3"/>
  <c r="H18" i="3" s="1"/>
  <c r="I18" i="3" s="1"/>
  <c r="G19" i="3"/>
  <c r="H19" i="3" s="1"/>
  <c r="I19" i="3" s="1"/>
  <c r="G20" i="3"/>
  <c r="H20" i="3" s="1"/>
  <c r="I20" i="3" s="1"/>
  <c r="J20" i="3" s="1"/>
  <c r="G21" i="3"/>
  <c r="H21" i="3" s="1"/>
  <c r="I21" i="3" s="1"/>
  <c r="G22" i="3"/>
  <c r="H22" i="3" s="1"/>
  <c r="I22" i="3" s="1"/>
  <c r="G23" i="3"/>
  <c r="H23" i="3" s="1"/>
  <c r="I23" i="3" s="1"/>
  <c r="G24" i="3"/>
  <c r="H24" i="3" s="1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10" i="3"/>
  <c r="D6" i="2"/>
  <c r="E6" i="2" s="1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10" i="3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6" i="2"/>
  <c r="F7" i="2"/>
  <c r="X11" i="3" s="1"/>
  <c r="F8" i="2"/>
  <c r="X12" i="3" s="1"/>
  <c r="F9" i="2"/>
  <c r="X13" i="3" s="1"/>
  <c r="F10" i="2"/>
  <c r="X14" i="3" s="1"/>
  <c r="F11" i="2"/>
  <c r="X15" i="3" s="1"/>
  <c r="F12" i="2"/>
  <c r="X16" i="3" s="1"/>
  <c r="F13" i="2"/>
  <c r="X17" i="3" s="1"/>
  <c r="F14" i="2"/>
  <c r="X18" i="3" s="1"/>
  <c r="F15" i="2"/>
  <c r="X19" i="3" s="1"/>
  <c r="F16" i="2"/>
  <c r="X20" i="3" s="1"/>
  <c r="F17" i="2"/>
  <c r="X21" i="3" s="1"/>
  <c r="F18" i="2"/>
  <c r="X22" i="3" s="1"/>
  <c r="F19" i="2"/>
  <c r="X23" i="3" s="1"/>
  <c r="F20" i="2"/>
  <c r="X24" i="3" s="1"/>
  <c r="F6" i="2"/>
  <c r="X10" i="3" s="1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C5" i="6" l="1"/>
  <c r="I10" i="3"/>
  <c r="J10" i="3" s="1"/>
  <c r="C3" i="6"/>
  <c r="I24" i="3"/>
  <c r="K24" i="3"/>
  <c r="J24" i="3"/>
  <c r="J17" i="3"/>
  <c r="N17" i="3" s="1"/>
  <c r="J15" i="3"/>
  <c r="N15" i="3" s="1"/>
  <c r="J23" i="3"/>
  <c r="L23" i="3" s="1"/>
  <c r="J11" i="3"/>
  <c r="N11" i="3" s="1"/>
  <c r="J22" i="3"/>
  <c r="L22" i="3" s="1"/>
  <c r="J14" i="3"/>
  <c r="N14" i="3" s="1"/>
  <c r="J21" i="3"/>
  <c r="L21" i="3" s="1"/>
  <c r="J18" i="3"/>
  <c r="N18" i="3" s="1"/>
  <c r="J16" i="3"/>
  <c r="N16" i="3" s="1"/>
  <c r="J19" i="3"/>
  <c r="N19" i="3" s="1"/>
  <c r="J13" i="3"/>
  <c r="L13" i="3" s="1"/>
  <c r="J12" i="3"/>
  <c r="L12" i="3" s="1"/>
  <c r="N24" i="3"/>
  <c r="N20" i="3"/>
  <c r="L20" i="3"/>
  <c r="L24" i="3"/>
  <c r="K22" i="3"/>
  <c r="K21" i="3"/>
  <c r="K20" i="3"/>
  <c r="K19" i="3"/>
  <c r="K18" i="3"/>
  <c r="K17" i="3"/>
  <c r="K16" i="3"/>
  <c r="K15" i="3"/>
  <c r="K14" i="3"/>
  <c r="K13" i="3"/>
  <c r="K12" i="3"/>
  <c r="K23" i="3"/>
  <c r="K11" i="3"/>
  <c r="K10" i="3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J7" i="3" l="1"/>
  <c r="N10" i="3"/>
  <c r="L17" i="3"/>
  <c r="O17" i="3" s="1"/>
  <c r="L15" i="3"/>
  <c r="O15" i="3" s="1"/>
  <c r="L11" i="3"/>
  <c r="O11" i="3" s="1"/>
  <c r="N23" i="3"/>
  <c r="N22" i="3"/>
  <c r="L18" i="3"/>
  <c r="O18" i="3" s="1"/>
  <c r="N21" i="3"/>
  <c r="L14" i="3"/>
  <c r="O14" i="3" s="1"/>
  <c r="L16" i="3"/>
  <c r="O16" i="3" s="1"/>
  <c r="N12" i="3"/>
  <c r="L10" i="3"/>
  <c r="O20" i="3"/>
  <c r="O24" i="3"/>
  <c r="L19" i="3"/>
  <c r="O19" i="3" s="1"/>
  <c r="N13" i="3"/>
  <c r="M7" i="3"/>
  <c r="O10" i="3" l="1"/>
  <c r="P10" i="3" s="1"/>
  <c r="S10" i="3"/>
  <c r="T10" i="3"/>
  <c r="R20" i="3"/>
  <c r="S20" i="3"/>
  <c r="R11" i="3"/>
  <c r="S11" i="3"/>
  <c r="R14" i="3"/>
  <c r="S14" i="3"/>
  <c r="R15" i="3"/>
  <c r="S15" i="3"/>
  <c r="R16" i="3"/>
  <c r="S16" i="3"/>
  <c r="R18" i="3"/>
  <c r="S18" i="3"/>
  <c r="R19" i="3"/>
  <c r="S19" i="3"/>
  <c r="R24" i="3"/>
  <c r="S24" i="3"/>
  <c r="R17" i="3"/>
  <c r="S17" i="3"/>
  <c r="R10" i="3"/>
  <c r="W20" i="3"/>
  <c r="W18" i="3"/>
  <c r="W14" i="3"/>
  <c r="W11" i="3"/>
  <c r="W15" i="3"/>
  <c r="W16" i="3"/>
  <c r="W19" i="3"/>
  <c r="W24" i="3"/>
  <c r="W17" i="3"/>
  <c r="O22" i="3"/>
  <c r="O23" i="3"/>
  <c r="T15" i="3"/>
  <c r="T20" i="3"/>
  <c r="T11" i="3"/>
  <c r="T18" i="3"/>
  <c r="T17" i="3"/>
  <c r="T14" i="3"/>
  <c r="T16" i="3"/>
  <c r="T19" i="3"/>
  <c r="T24" i="3"/>
  <c r="O12" i="3"/>
  <c r="O13" i="3"/>
  <c r="O21" i="3"/>
  <c r="P24" i="3"/>
  <c r="P16" i="3"/>
  <c r="P20" i="3"/>
  <c r="P15" i="3"/>
  <c r="P11" i="3"/>
  <c r="P17" i="3"/>
  <c r="P14" i="3"/>
  <c r="P19" i="3"/>
  <c r="P18" i="3"/>
  <c r="X7" i="3"/>
  <c r="W10" i="3" l="1"/>
  <c r="O7" i="3"/>
  <c r="R12" i="3"/>
  <c r="S12" i="3"/>
  <c r="R13" i="3"/>
  <c r="S13" i="3"/>
  <c r="R21" i="3"/>
  <c r="C6" i="6" s="1"/>
  <c r="S21" i="3"/>
  <c r="R23" i="3"/>
  <c r="S23" i="3"/>
  <c r="R22" i="3"/>
  <c r="S22" i="3"/>
  <c r="W21" i="3"/>
  <c r="W23" i="3"/>
  <c r="W13" i="3"/>
  <c r="W22" i="3"/>
  <c r="W12" i="3"/>
  <c r="P23" i="3"/>
  <c r="Q23" i="3" s="1"/>
  <c r="P22" i="3"/>
  <c r="Q22" i="3" s="1"/>
  <c r="T23" i="3"/>
  <c r="T22" i="3"/>
  <c r="Q15" i="3"/>
  <c r="U15" i="3" s="1"/>
  <c r="V15" i="3" s="1"/>
  <c r="Y15" i="3" s="1"/>
  <c r="Q11" i="3"/>
  <c r="U11" i="3" s="1"/>
  <c r="V11" i="3" s="1"/>
  <c r="Y11" i="3" s="1"/>
  <c r="Q14" i="3"/>
  <c r="U14" i="3" s="1"/>
  <c r="V14" i="3" s="1"/>
  <c r="Y14" i="3" s="1"/>
  <c r="Q16" i="3"/>
  <c r="U16" i="3" s="1"/>
  <c r="V16" i="3" s="1"/>
  <c r="Y16" i="3" s="1"/>
  <c r="Q17" i="3"/>
  <c r="U17" i="3" s="1"/>
  <c r="V17" i="3" s="1"/>
  <c r="Y17" i="3" s="1"/>
  <c r="Q18" i="3"/>
  <c r="U18" i="3" s="1"/>
  <c r="V18" i="3" s="1"/>
  <c r="Y18" i="3" s="1"/>
  <c r="Q20" i="3"/>
  <c r="U20" i="3" s="1"/>
  <c r="V20" i="3" s="1"/>
  <c r="Y20" i="3" s="1"/>
  <c r="Q24" i="3"/>
  <c r="U24" i="3" s="1"/>
  <c r="V24" i="3" s="1"/>
  <c r="Y24" i="3" s="1"/>
  <c r="Q19" i="3"/>
  <c r="U19" i="3" s="1"/>
  <c r="V19" i="3" s="1"/>
  <c r="Y19" i="3" s="1"/>
  <c r="Q10" i="3"/>
  <c r="T21" i="3"/>
  <c r="T13" i="3"/>
  <c r="T12" i="3"/>
  <c r="T7" i="3" s="1"/>
  <c r="P12" i="3"/>
  <c r="C7" i="6" s="1"/>
  <c r="P21" i="3"/>
  <c r="P13" i="3"/>
  <c r="L7" i="3"/>
  <c r="K7" i="3"/>
  <c r="N7" i="3"/>
  <c r="U23" i="3" l="1"/>
  <c r="V23" i="3" s="1"/>
  <c r="Y23" i="3" s="1"/>
  <c r="U22" i="3"/>
  <c r="V22" i="3" s="1"/>
  <c r="Y22" i="3" s="1"/>
  <c r="U10" i="3"/>
  <c r="Q12" i="3"/>
  <c r="U12" i="3" s="1"/>
  <c r="V12" i="3" s="1"/>
  <c r="Y12" i="3" s="1"/>
  <c r="Q13" i="3"/>
  <c r="U13" i="3" s="1"/>
  <c r="V13" i="3" s="1"/>
  <c r="Y13" i="3" s="1"/>
  <c r="Q21" i="3"/>
  <c r="U21" i="3" s="1"/>
  <c r="V21" i="3" s="1"/>
  <c r="Y21" i="3" s="1"/>
  <c r="C8" i="6" l="1"/>
  <c r="V10" i="3"/>
  <c r="R7" i="3"/>
  <c r="S7" i="3"/>
  <c r="W7" i="3"/>
  <c r="Y10" i="3" l="1"/>
  <c r="Y7" i="3" s="1"/>
  <c r="C4" i="6"/>
  <c r="P7" i="3"/>
  <c r="Q7" i="3"/>
  <c r="U7" i="3" l="1"/>
  <c r="V7" i="3"/>
  <c r="S2" i="3" s="1"/>
  <c r="L2" i="3" l="1"/>
  <c r="S1" i="3"/>
</calcChain>
</file>

<file path=xl/sharedStrings.xml><?xml version="1.0" encoding="utf-8"?>
<sst xmlns="http://schemas.openxmlformats.org/spreadsheetml/2006/main" count="254" uniqueCount="186">
  <si>
    <t>Eil. Nr.</t>
  </si>
  <si>
    <t>Vadybininkas</t>
  </si>
  <si>
    <t>Administratorė</t>
  </si>
  <si>
    <t>Vadovas</t>
  </si>
  <si>
    <t>Garantinis fondas</t>
  </si>
  <si>
    <t>Pareigos</t>
  </si>
  <si>
    <t>Darbo užmokestis</t>
  </si>
  <si>
    <t>Darbuotojai</t>
  </si>
  <si>
    <t>Pavardė, vardas</t>
  </si>
  <si>
    <r>
      <t xml:space="preserve">Valandinis tarifinis atlygis, </t>
    </r>
    <r>
      <rPr>
        <sz val="11"/>
        <color theme="1"/>
        <rFont val="Tahoma"/>
        <family val="2"/>
      </rPr>
      <t>€</t>
    </r>
  </si>
  <si>
    <r>
      <t xml:space="preserve">Avansas, </t>
    </r>
    <r>
      <rPr>
        <sz val="11"/>
        <color theme="1"/>
        <rFont val="Tahoma"/>
        <family val="2"/>
      </rPr>
      <t>€</t>
    </r>
  </si>
  <si>
    <t>Asmens kodas</t>
  </si>
  <si>
    <t>Tel. Nr.</t>
  </si>
  <si>
    <t>Adresas</t>
  </si>
  <si>
    <t>Registras</t>
  </si>
  <si>
    <t>Op. Nr.</t>
  </si>
  <si>
    <t>Skaičiavimo data</t>
  </si>
  <si>
    <r>
      <t xml:space="preserve">Pareiginis atlyginimas, </t>
    </r>
    <r>
      <rPr>
        <sz val="11"/>
        <color theme="1"/>
        <rFont val="Tahoma"/>
        <family val="2"/>
      </rPr>
      <t>€</t>
    </r>
  </si>
  <si>
    <t xml:space="preserve">Nustatytas darbo dienų skaičius </t>
  </si>
  <si>
    <t>Faktiškai dirbta, d.</t>
  </si>
  <si>
    <t>Faktiškai dirbta, val.</t>
  </si>
  <si>
    <r>
      <t xml:space="preserve">Atlyginimas, </t>
    </r>
    <r>
      <rPr>
        <sz val="11"/>
        <color theme="1"/>
        <rFont val="Tahoma"/>
        <family val="2"/>
      </rPr>
      <t>€</t>
    </r>
  </si>
  <si>
    <r>
      <t xml:space="preserve">Mėnesinė priemoka, </t>
    </r>
    <r>
      <rPr>
        <sz val="11"/>
        <color theme="1"/>
        <rFont val="Tahoma"/>
        <family val="2"/>
      </rPr>
      <t>€</t>
    </r>
  </si>
  <si>
    <t>Eilinės atostogos,  €</t>
  </si>
  <si>
    <t>Kompensacija už nepanaudotas atostogas,  €</t>
  </si>
  <si>
    <t>Nedarbingumo pašalpa darbdavio lėšomis,  €</t>
  </si>
  <si>
    <t>Priskaičiuota iš viso,  €</t>
  </si>
  <si>
    <r>
      <t xml:space="preserve">pritaikytas NPD, </t>
    </r>
    <r>
      <rPr>
        <sz val="11"/>
        <color theme="1"/>
        <rFont val="Tahoma"/>
        <family val="2"/>
      </rPr>
      <t>€</t>
    </r>
  </si>
  <si>
    <t>Išskaičiuota iš viso, €</t>
  </si>
  <si>
    <t>Išmokėtina suma, €</t>
  </si>
  <si>
    <t>Darbdavio VSD įmokos, €</t>
  </si>
  <si>
    <t>Avansas, €</t>
  </si>
  <si>
    <t>Išmokėtina suma po avanso, €</t>
  </si>
  <si>
    <t>Savarankiško darbo užduotis:</t>
  </si>
  <si>
    <t>Darbalapis "Darbuotojai"</t>
  </si>
  <si>
    <t>Stulpelio pavadinimas</t>
  </si>
  <si>
    <t>Užduotis</t>
  </si>
  <si>
    <t>Sukurkite seką</t>
  </si>
  <si>
    <t>Sukurkite seką "Darbuotojas1" ir t.t.</t>
  </si>
  <si>
    <t>Pareigybė</t>
  </si>
  <si>
    <t>Buhalterė</t>
  </si>
  <si>
    <t>Sandėlininkas</t>
  </si>
  <si>
    <t xml:space="preserve">Darbuotojų skaičius </t>
  </si>
  <si>
    <t>Gamybos darbuotojas</t>
  </si>
  <si>
    <t>Sudarykite  sąrašą ir parinkite vieną iš pateiktų pareigybių kiekvienam darbuotojui. Pareigybių skaičius duotas "Pareigybės" lape</t>
  </si>
  <si>
    <t>VSD darbuotojo</t>
  </si>
  <si>
    <t>VSD darbdavio</t>
  </si>
  <si>
    <t xml:space="preserve">Papildomas pensijinis kaupimas </t>
  </si>
  <si>
    <t>Apskaičiuokite iš pareiginio atlyginimo imdami vidutinį mėnesio darbo dienų skaičių 22</t>
  </si>
  <si>
    <t>x</t>
  </si>
  <si>
    <t>nepildyti</t>
  </si>
  <si>
    <t>sugalvokite patys</t>
  </si>
  <si>
    <t>Darbalapis "Darbo užmokestis"</t>
  </si>
  <si>
    <t>nukopijuokite darbuotojus iš darbuotojų lapo</t>
  </si>
  <si>
    <t>Parinkite kiekvienam darbuotojui pareiginį atlyginimą pagal pareigas</t>
  </si>
  <si>
    <t>Parinkite kiekvienam darbuotojui pareiginį atlyginimą iš darbuotojų lapo</t>
  </si>
  <si>
    <t>Parinkite kiekvienam darbuotojui pareiginį valandinį atlyginimą iš darbuotojų lapo</t>
  </si>
  <si>
    <t>Išmokama = priskaičiuota - išskaičiuota</t>
  </si>
  <si>
    <t>visa išskaičiuota suma mokesčiams</t>
  </si>
  <si>
    <t>Parinkite iš darbuotojų lapo</t>
  </si>
  <si>
    <t>Išmokama suma atėmus avansą</t>
  </si>
  <si>
    <t>parinkite atsitiktiniu būdu nuo 15 iki mėnesio darbo dienų skaičiaus</t>
  </si>
  <si>
    <t>dienos * 8 val.</t>
  </si>
  <si>
    <t>atlyginimas priskaičiuotas už dirbtas dienas</t>
  </si>
  <si>
    <t>Skirkite mėnesinę priemoką 50 eurų, jei dirbo visas darbo dienas</t>
  </si>
  <si>
    <t>Jei darbuotojas nedirbo daugiau nei 4 dienas, tada jis tas dienas buvo atostogose. Paskaičiuokite už tas dienas atostoginius</t>
  </si>
  <si>
    <t>Visos priskaičiuotos sumos</t>
  </si>
  <si>
    <t>Nedarbingumo pašalpa</t>
  </si>
  <si>
    <t>0,2% nuo visiems darbuotojams priskaičiuotų atlyginimų</t>
  </si>
  <si>
    <t>apskaičiuokite darbo dienų skaičių su funkcija Networkdays(). Nepamirškite švenčių dienų.</t>
  </si>
  <si>
    <t>Jei darbuotojas nedirbo  4 ar mažiau dienų, tada jis sirgo. Paskaičiuokite už tas 1-2 dienas darbdavio mokamą atlyginimą</t>
  </si>
  <si>
    <t>UAB "Jaunystė"</t>
  </si>
  <si>
    <t>Įmonės kodas 1222555888</t>
  </si>
  <si>
    <t>Darbo užmokesčio registras</t>
  </si>
  <si>
    <t>mėnuo</t>
  </si>
  <si>
    <t>A5</t>
  </si>
  <si>
    <t>Įmoka</t>
  </si>
  <si>
    <t>Iš viso:</t>
  </si>
  <si>
    <t xml:space="preserve">5 eilutėje </t>
  </si>
  <si>
    <t>suskaičiuokite stulpelių sumas</t>
  </si>
  <si>
    <t>Išrikiuokite duomenis pagal pareiginį atlyginimą mažėjančia tvarka</t>
  </si>
  <si>
    <t>Sukurkite skritulinę  diagramą, kurioje pateikite darbuotojas1 sumokamus mokesčius ir išmokamą sumą</t>
  </si>
  <si>
    <t>Sukurkite stulpelinę diagramą, kurioje pateikite darbuotojus ir jiems išmokamas sumas, uždėkite etiketes, ašių pavadinimus, stulpelių spalva - oranžinė</t>
  </si>
  <si>
    <t>Pastabos</t>
  </si>
  <si>
    <t>sąrašas</t>
  </si>
  <si>
    <t>concatenate()</t>
  </si>
  <si>
    <t>choose()</t>
  </si>
  <si>
    <t>vlookup()</t>
  </si>
  <si>
    <t>randbetween()</t>
  </si>
  <si>
    <t>atlyginimas*fakt.dirbtų d./d.d.skaičius</t>
  </si>
  <si>
    <t>IF</t>
  </si>
  <si>
    <t>Formatuokite lentelę</t>
  </si>
  <si>
    <t>koeficientams suteikite vardus</t>
  </si>
  <si>
    <t>Avansą parinkite atsitiktiniu būdu  150 arba 200 eurų</t>
  </si>
  <si>
    <t>sujunkite "+370 6" ir 7 atsitiktiniai skaičiai</t>
  </si>
  <si>
    <r>
      <t xml:space="preserve">VSD  ir PSD įmokos, </t>
    </r>
    <r>
      <rPr>
        <sz val="11"/>
        <color theme="1"/>
        <rFont val="Tahoma"/>
        <family val="2"/>
      </rPr>
      <t>€</t>
    </r>
  </si>
  <si>
    <t>PSD</t>
  </si>
  <si>
    <t>Ilgalaikio darbo išmokų fondo įmoka</t>
  </si>
  <si>
    <t>Soc. draudimo įmokos nelaimingų atsitikimų draudimui</t>
  </si>
  <si>
    <t>VSD įmoka, €</t>
  </si>
  <si>
    <t>PSD įmoka,  €</t>
  </si>
  <si>
    <t>Pareiginis atlyginimas, €</t>
  </si>
  <si>
    <t>Valandinis tarifinis atlygis, €</t>
  </si>
  <si>
    <t>Atlyginimas, €</t>
  </si>
  <si>
    <t>Mėnesinė priemoka, €</t>
  </si>
  <si>
    <t>pritaikytas NPD, €</t>
  </si>
  <si>
    <t>S1, S2</t>
  </si>
  <si>
    <t>Vidutinė avanso suma</t>
  </si>
  <si>
    <t>Pritaikyto NPD mediana</t>
  </si>
  <si>
    <t>Keli darbuotojai dirbo 18 ir daugiau dienų</t>
  </si>
  <si>
    <t>2 didžiausia GPM reikšmė</t>
  </si>
  <si>
    <t>GPM, €</t>
  </si>
  <si>
    <t>GPM1</t>
  </si>
  <si>
    <t>GPM2</t>
  </si>
  <si>
    <r>
      <t xml:space="preserve">GPM, </t>
    </r>
    <r>
      <rPr>
        <sz val="11"/>
        <color theme="1"/>
        <rFont val="Tahoma"/>
        <family val="2"/>
      </rPr>
      <t>€</t>
    </r>
  </si>
  <si>
    <t>Įrašykite kovo mėnesį</t>
  </si>
  <si>
    <t>GMP=(Priskaičiuota - NPD)*20%</t>
  </si>
  <si>
    <t>VSD (1,77%) * priskaičiuota</t>
  </si>
  <si>
    <t>3% nuo priskaičiuoto atlygio</t>
  </si>
  <si>
    <t>Darbuotojų, kurių valandinis įkainis mažiau nei 8 eurai,   sumokamų VSD  vidurkis</t>
  </si>
  <si>
    <t>Darbuotojų, kurie dirbo mažiau nei 18 dienų, išmokamų atlyginimų suma</t>
  </si>
  <si>
    <t>Apskaičiuokite S1 ir S2 langelių reikšmes nuo visų darbuotojų atlyginimo.</t>
  </si>
  <si>
    <t>tarkime, kad darote registrą kovo mėnesiui, tada rašykite visur 03</t>
  </si>
  <si>
    <t>eomonth()</t>
  </si>
  <si>
    <t>14,29% nuo priskaičiuoto atlygio atėmus nedarbingumo pašalpos sumą, PSD - 6,98%</t>
  </si>
  <si>
    <t>Sąlyginiu formatavimu išskirkite 5 mažiausias išmokėtinas sumas</t>
  </si>
  <si>
    <t>Pasirinkite šių metų kovo datą formatas: 2022/kov/31</t>
  </si>
  <si>
    <t>Neapmokestinamo minimumo skaičiavimas:</t>
  </si>
  <si>
    <t>1)</t>
  </si>
  <si>
    <t>NPD max - 460 Eur. Taikomas pajamoms iki 730 Eur.</t>
  </si>
  <si>
    <t>2)</t>
  </si>
  <si>
    <t>NPD = 460 – 0,26* (gyventojo mėnesio su darbo santykiais arba jų esmę atitinkančiais santykiais susijusios pajamos – 730)</t>
  </si>
  <si>
    <t>jei Du&lt;1678</t>
  </si>
  <si>
    <t>3)</t>
  </si>
  <si>
    <t>NPD = 400 – 0,18* (gyventojo mėnesio su darbo santykiais arba jų esmę atitinkančiais santykiais susijusios pajamos – 642)</t>
  </si>
  <si>
    <t>jei Du&gt;1678</t>
  </si>
  <si>
    <t>4)</t>
  </si>
  <si>
    <t>Jei neigiamas tai rašome 0</t>
  </si>
  <si>
    <t>paskaičiuokite pagal dešinėje duotas formules</t>
  </si>
  <si>
    <t xml:space="preserve">Jaunystės 1 </t>
  </si>
  <si>
    <t>Jaunystės 2</t>
  </si>
  <si>
    <t>Jaunystės 3</t>
  </si>
  <si>
    <t>Jaunystės 4</t>
  </si>
  <si>
    <t>Jaunystės 5</t>
  </si>
  <si>
    <t>Jaunystės 6</t>
  </si>
  <si>
    <t>Jaunystės 7</t>
  </si>
  <si>
    <t>Jaunystės 8</t>
  </si>
  <si>
    <t>Jaunystės 9</t>
  </si>
  <si>
    <t>Jaunystės 10</t>
  </si>
  <si>
    <t>Jaunystės 11</t>
  </si>
  <si>
    <t>Jaunystės 12</t>
  </si>
  <si>
    <t>Jaunystės 13</t>
  </si>
  <si>
    <t>Jaunystės 14</t>
  </si>
  <si>
    <t>Jaunystės 15</t>
  </si>
  <si>
    <t>darbo užmokestis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</si>
  <si>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</si>
  <si>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</si>
  <si>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</si>
  <si>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</si>
  <si>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</si>
  <si>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</si>
  <si>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</si>
  <si>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</si>
  <si>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</si>
  <si>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</si>
  <si>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</si>
  <si>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</si>
  <si>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</si>
  <si>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</si>
  <si>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</si>
  <si>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Darbuotojas1</t>
  </si>
  <si>
    <t>Darbuotojas2</t>
  </si>
  <si>
    <t>Darbuotojas3</t>
  </si>
  <si>
    <t>Darbuotojas4</t>
  </si>
  <si>
    <t>Darbuotojas5</t>
  </si>
  <si>
    <t>Darbuotojas6</t>
  </si>
  <si>
    <t>Darbuotojas7</t>
  </si>
  <si>
    <t>Darbuotojas8</t>
  </si>
  <si>
    <t>Darbuotojas9</t>
  </si>
  <si>
    <t>Darbuotojas10</t>
  </si>
  <si>
    <t>Darbuotojas11</t>
  </si>
  <si>
    <t>Darbuotojas12</t>
  </si>
  <si>
    <t>Darbuotojas13</t>
  </si>
  <si>
    <t>Darbuotojas14</t>
  </si>
  <si>
    <t>Darbuotojas15</t>
  </si>
  <si>
    <t>Kovo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</si>
</sst>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0.0%"/>
    <numFmt numFmtId="165" formatCode="yyyy\/mmm\/dd"/>
    <numFmt numFmtId="166" formatCode="#,##0.00\ &quot;€&quot;"/>
  </numFmts>
  <fonts count="14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Tahoma"/>
      <family val="2"/>
    </font>
    <font>
      <sz val="10"/>
      <name val="Arial"/>
      <family val="2"/>
      <charset val="186"/>
    </font>
    <font>
      <sz val="11"/>
      <color rgb="FF000000"/>
      <name val="Arial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1"/>
      <name val="Calibri"/>
      <family val="2"/>
      <charset val="186"/>
      <scheme val="minor"/>
    </font>
    <font>
      <b/>
      <sz val="12"/>
      <color theme="1"/>
      <name val="Times New Roman"/>
      <family val="1"/>
    </font>
    <font>
      <sz val="12"/>
      <color rgb="FFFF0000"/>
      <name val="Times New Roman"/>
      <family val="2"/>
      <charset val="186"/>
    </font>
    <font>
      <sz val="8"/>
      <name val="Calibri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0" fillId="0" borderId="1" xfId="0" applyBorder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14" fontId="5" fillId="0" borderId="0" xfId="0" applyNumberFormat="1" applyFont="1" applyAlignment="1">
      <alignment horizontal="right"/>
    </xf>
    <xf numFmtId="14" fontId="0" fillId="0" borderId="0" xfId="0" applyNumberFormat="1" applyAlignment="1">
      <alignment horizontal="right"/>
    </xf>
    <xf numFmtId="0" fontId="6" fillId="0" borderId="0" xfId="0" applyFont="1"/>
    <xf numFmtId="2" fontId="0" fillId="0" borderId="0" xfId="1" applyNumberFormat="1" applyFont="1" applyAlignment="1">
      <alignment horizontal="left"/>
    </xf>
    <xf numFmtId="0" fontId="7" fillId="0" borderId="0" xfId="0" applyFont="1"/>
    <xf numFmtId="0" fontId="0" fillId="2" borderId="0" xfId="0" applyFill="1"/>
    <xf numFmtId="0" fontId="0" fillId="0" borderId="0" xfId="0" applyAlignment="1">
      <alignment vertical="top"/>
    </xf>
    <xf numFmtId="0" fontId="8" fillId="0" borderId="0" xfId="0" applyFont="1"/>
    <xf numFmtId="0" fontId="8" fillId="0" borderId="0" xfId="0" applyFont="1" applyAlignment="1">
      <alignment horizontal="right"/>
    </xf>
    <xf numFmtId="9" fontId="8" fillId="0" borderId="1" xfId="2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8" fillId="0" borderId="1" xfId="0" applyFont="1" applyBorder="1"/>
    <xf numFmtId="10" fontId="8" fillId="0" borderId="1" xfId="0" applyNumberFormat="1" applyFont="1" applyBorder="1"/>
    <xf numFmtId="10" fontId="8" fillId="0" borderId="1" xfId="2" applyNumberFormat="1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10" fontId="9" fillId="0" borderId="2" xfId="2" applyNumberFormat="1" applyFont="1" applyBorder="1"/>
    <xf numFmtId="0" fontId="10" fillId="0" borderId="1" xfId="0" applyFont="1" applyBorder="1" applyAlignment="1">
      <alignment wrapText="1"/>
    </xf>
    <xf numFmtId="0" fontId="11" fillId="0" borderId="0" xfId="0" applyFont="1"/>
    <xf numFmtId="0" fontId="0" fillId="0" borderId="0" xfId="0" applyAlignment="1">
      <alignment horizontal="right"/>
    </xf>
    <xf numFmtId="0" fontId="12" fillId="0" borderId="0" xfId="0" applyFont="1"/>
    <xf numFmtId="2" fontId="0" fillId="0" borderId="0" xfId="0" applyNumberFormat="1"/>
    <xf numFmtId="2" fontId="0" fillId="0" borderId="1" xfId="0" applyNumberFormat="1" applyBorder="1"/>
    <xf numFmtId="2" fontId="9" fillId="0" borderId="1" xfId="2" applyNumberFormat="1" applyFont="1" applyBorder="1"/>
    <xf numFmtId="2" fontId="8" fillId="0" borderId="1" xfId="0" applyNumberFormat="1" applyFont="1" applyBorder="1"/>
    <xf numFmtId="165" fontId="8" fillId="0" borderId="1" xfId="0" applyNumberFormat="1" applyFont="1" applyBorder="1"/>
    <xf numFmtId="0" fontId="0" fillId="0" borderId="1" xfId="0" applyBorder="1" applyAlignment="1">
      <alignment horizontal="center" vertical="center"/>
    </xf>
    <xf numFmtId="166" fontId="0" fillId="0" borderId="1" xfId="0" applyNumberFormat="1" applyBorder="1"/>
    <xf numFmtId="1" fontId="8" fillId="0" borderId="1" xfId="0" applyNumberFormat="1" applyFont="1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wrapText="1"/>
    </xf>
    <xf numFmtId="0" fontId="8" fillId="0" borderId="3" xfId="0" applyFont="1" applyBorder="1"/>
    <xf numFmtId="2" fontId="8" fillId="0" borderId="4" xfId="0" applyNumberFormat="1" applyFont="1" applyBorder="1"/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/>
    <xf numFmtId="1" fontId="8" fillId="0" borderId="2" xfId="0" applyNumberFormat="1" applyFont="1" applyBorder="1" applyAlignment="1">
      <alignment horizontal="center"/>
    </xf>
    <xf numFmtId="165" fontId="8" fillId="0" borderId="2" xfId="0" applyNumberFormat="1" applyFont="1" applyBorder="1"/>
    <xf numFmtId="0" fontId="0" fillId="0" borderId="2" xfId="0" applyBorder="1"/>
    <xf numFmtId="0" fontId="8" fillId="0" borderId="2" xfId="0" applyFont="1" applyBorder="1"/>
    <xf numFmtId="2" fontId="8" fillId="0" borderId="2" xfId="0" applyNumberFormat="1" applyFont="1" applyBorder="1"/>
    <xf numFmtId="2" fontId="8" fillId="0" borderId="9" xfId="0" applyNumberFormat="1" applyFont="1" applyBorder="1"/>
  </cellXfs>
  <cellStyles count="3">
    <cellStyle name="Įprastas" xfId="0" builtinId="0"/>
    <cellStyle name="Procentai" xfId="2" builtinId="5"/>
    <cellStyle name="Valiuta" xfId="1" builtinId="4"/>
  </cellStyles>
  <dxfs count="32"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yyyy\/mmm\/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'Darbo užmokestis'!$V$9</c:f>
              <c:strCache>
                <c:ptCount val="1"/>
                <c:pt idx="0">
                  <c:v>Išmokėtina suma, €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t-L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'Darbo užmokestis'!$D$10:$D$24</c:f>
              <c:strCache>
                <c:ptCount val="15"/>
                <c:pt idx="0">
                  <c:v>Darbuotojas1</c:v>
                </c:pt>
                <c:pt idx="1">
                  <c:v>Darbuotojas2</c:v>
                </c:pt>
                <c:pt idx="2">
                  <c:v>Darbuotojas3</c:v>
                </c:pt>
                <c:pt idx="3">
                  <c:v>Darbuotojas4</c:v>
                </c:pt>
                <c:pt idx="4">
                  <c:v>Darbuotojas5</c:v>
                </c:pt>
                <c:pt idx="5">
                  <c:v>Darbuotojas6</c:v>
                </c:pt>
                <c:pt idx="6">
                  <c:v>Darbuotojas7</c:v>
                </c:pt>
                <c:pt idx="7">
                  <c:v>Darbuotojas8</c:v>
                </c:pt>
                <c:pt idx="8">
                  <c:v>Darbuotojas9</c:v>
                </c:pt>
                <c:pt idx="9">
                  <c:v>Darbuotojas10</c:v>
                </c:pt>
                <c:pt idx="10">
                  <c:v>Darbuotojas11</c:v>
                </c:pt>
                <c:pt idx="11">
                  <c:v>Darbuotojas12</c:v>
                </c:pt>
                <c:pt idx="12">
                  <c:v>Darbuotojas13</c:v>
                </c:pt>
                <c:pt idx="13">
                  <c:v>Darbuotojas14</c:v>
                </c:pt>
                <c:pt idx="14">
                  <c:v>Darbuotojas15</c:v>
                </c:pt>
              </c:strCache>
            </c:strRef>
          </c:cat>
          <c:val>
            <c:numRef>
              <c:f>'Darbo užmokestis'!$V$10:$V$24</c:f>
              <c:numCache>
                <c:formatCode>0.00</c:formatCode>
                <c:ptCount val="15"/>
                <c:pt idx="0">
                  <c:v>1583.0563636363636</c:v>
                </c:pt>
                <c:pt idx="1">
                  <c:v>742.9050000000002</c:v>
                </c:pt>
                <c:pt idx="2">
                  <c:v>716.87603305785149</c:v>
                </c:pt>
                <c:pt idx="3">
                  <c:v>546.26717355371886</c:v>
                </c:pt>
                <c:pt idx="4">
                  <c:v>329.5038545454546</c:v>
                </c:pt>
                <c:pt idx="5">
                  <c:v>329.5038545454546</c:v>
                </c:pt>
                <c:pt idx="6">
                  <c:v>326.60355371900835</c:v>
                </c:pt>
                <c:pt idx="7">
                  <c:v>271.24934504132239</c:v>
                </c:pt>
                <c:pt idx="8">
                  <c:v>154.22485537190084</c:v>
                </c:pt>
                <c:pt idx="9">
                  <c:v>236.36930578512397</c:v>
                </c:pt>
                <c:pt idx="10">
                  <c:v>191.41464049586784</c:v>
                </c:pt>
                <c:pt idx="11">
                  <c:v>174.36932231404955</c:v>
                </c:pt>
                <c:pt idx="12">
                  <c:v>237.64857024793389</c:v>
                </c:pt>
                <c:pt idx="13">
                  <c:v>154.22485537190084</c:v>
                </c:pt>
                <c:pt idx="14">
                  <c:v>154.22485537190084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9B-43FE-98D1-000F2EEE84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79193952"/>
        <c:axId val="1579196832"/>
      </c:barChart>
      <c:catAx>
        <c:axId val="1579193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/>
                  <a:t>Pavardė,</a:t>
                </a:r>
                <a:r>
                  <a:rPr lang="lt-LT" baseline="0"/>
                  <a:t> Vardas</a:t>
                </a:r>
                <a:endParaRPr lang="lt-L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t-L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1579196832"/>
        <c:crosses val="autoZero"/>
        <c:auto val="1"/>
        <c:lblAlgn val="ctr"/>
        <c:lblOffset val="100"/>
        <c:noMultiLvlLbl val="0"/>
      </c:catAx>
      <c:valAx>
        <c:axId val="157919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</a:t>
                </a:r>
                <a:r>
                  <a:rPr lang="lt-LT"/>
                  <a:t>šmokėtina</a:t>
                </a:r>
                <a:r>
                  <a:rPr lang="lt-LT" baseline="0"/>
                  <a:t> suma</a:t>
                </a:r>
                <a:endParaRPr lang="lt-L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t-L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1579193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'Darbo užmokestis'!$D$10</c:f>
              <c:strCache>
                <c:ptCount val="1"/>
                <c:pt idx="0">
                  <c:v>Darbuotojas1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t-LT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'Darbo užmokestis'!$U$9:$V$9</c:f>
              <c:strCache>
                <c:ptCount val="2"/>
                <c:pt idx="0">
                  <c:v>Išskaičiuota iš viso, €</c:v>
                </c:pt>
                <c:pt idx="1">
                  <c:v>Išmokėtina suma, €</c:v>
                </c:pt>
              </c:strCache>
            </c:strRef>
          </c:cat>
          <c:val>
            <c:numRef>
              <c:f>'Darbo užmokestis'!$U$10:$V$10</c:f>
              <c:numCache>
                <c:formatCode>0.00</c:formatCode>
                <c:ptCount val="2"/>
                <c:pt idx="0">
                  <c:v>1211.1585123966938</c:v>
                </c:pt>
                <c:pt idx="1">
                  <c:v>1583.0563636363636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EE-4D3A-A6CF-BF2F3BBAE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33618</xdr:colOff>
      <xdr:row>24</xdr:row>
      <xdr:rowOff>124384</xdr:rowOff>
    </xdr:from>
    <xdr:to>
      <xdr:col>11</xdr:col>
      <xdr:colOff>689161</xdr:colOff>
      <xdr:row>44</xdr:row>
      <xdr:rowOff>190499</xdr:rowOff>
    </xdr:to>
    <xdr:graphicFrame macro="">
      <xdr:nvGraphicFramePr>
        <xdr:cNvPr id="4" name="Diagrama 3">
          <a:extLst>
            <a:ext uri="{FF2B5EF4-FFF2-40B4-BE49-F238E27FC236}">
              <a16:creationId xmlns:a16="http://schemas.microsoft.com/office/drawing/2014/main" id="{F18CEB0C-9A9E-C6DF-2A99-8183D2C534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818028</xdr:colOff>
      <xdr:row>24</xdr:row>
      <xdr:rowOff>134472</xdr:rowOff>
    </xdr:from>
    <xdr:to>
      <xdr:col>17</xdr:col>
      <xdr:colOff>145677</xdr:colOff>
      <xdr:row>44</xdr:row>
      <xdr:rowOff>168088</xdr:rowOff>
    </xdr:to>
    <xdr:graphicFrame macro="">
      <xdr:nvGraphicFramePr>
        <xdr:cNvPr id="5" name="Diagrama 4">
          <a:extLst>
            <a:ext uri="{FF2B5EF4-FFF2-40B4-BE49-F238E27FC236}">
              <a16:creationId xmlns:a16="http://schemas.microsoft.com/office/drawing/2014/main" id="{FB4EFBB0-E5FA-6393-7AD2-6B0366CE25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CDA77B-3385-4F94-9ACC-A00907926BBB}" name="Lentelė1" displayName="Lentelė1" ref="A9:Y24" totalsRowShown="0" headerRowDxfId="31" dataDxfId="30" headerRowBorderDxfId="28" tableBorderDxfId="29" totalsRowBorderDxfId="27">
  <autoFilter ref="A9:Y24" xr:uid="{83CDA77B-3385-4F94-9ACC-A00907926BBB}"/>
  <sortState xmlns:xlrd2="http://schemas.microsoft.com/office/spreadsheetml/2017/richdata2" ref="A10:Y24">
    <sortCondition descending="1" ref="E9:E24"/>
  </sortState>
  <tableColumns count="25">
    <tableColumn id="1" xr3:uid="{85FA41AC-E0B4-4517-BEA4-532BA4D9451C}" name="Registras" dataDxfId="26"/>
    <tableColumn id="2" xr3:uid="{1864FE05-FFB2-46A2-94E8-7F901A90BE30}" name="Op. Nr." dataDxfId="25">
      <calculatedColumnFormula>"03"</calculatedColumnFormula>
    </tableColumn>
    <tableColumn id="3" xr3:uid="{181D305C-476C-4484-93B9-CC78436A3DC6}" name="Skaičiavimo data" dataDxfId="24">
      <calculatedColumnFormula>DATE(2026,3,15)</calculatedColumnFormula>
    </tableColumn>
    <tableColumn id="4" xr3:uid="{2F504FE5-4DEB-4B37-8523-8D43E5C99639}" name="Pavardė, vardas" dataDxfId="23">
      <calculatedColumnFormula>Darbuotojai!B6</calculatedColumnFormula>
    </tableColumn>
    <tableColumn id="5" xr3:uid="{6AFAC5C2-2EBD-412C-B653-5AAD60B1CFAF}" name="Pareiginis atlyginimas, €" dataDxfId="22">
      <calculatedColumnFormula>Darbuotojai!D6</calculatedColumnFormula>
    </tableColumn>
    <tableColumn id="6" xr3:uid="{AA247122-1D94-4A4E-B55F-F7C68239F510}" name="Valandinis tarifinis atlygis, €" dataDxfId="21">
      <calculatedColumnFormula>Darbuotojai!E6</calculatedColumnFormula>
    </tableColumn>
    <tableColumn id="7" xr3:uid="{C8226709-4A70-4F96-8B63-113C6F137F9A}" name="Nustatytas darbo dienų skaičius " dataDxfId="20">
      <calculatedColumnFormula>NETWORKDAYS(2026-3-31,2026-3-1,2026-3-11)</calculatedColumnFormula>
    </tableColumn>
    <tableColumn id="8" xr3:uid="{49B43C1F-346E-4BF7-A53B-4AB94906CA03}" name="Faktiškai dirbta, d." dataDxfId="19">
      <calculatedColumnFormula>RANDBETWEEN(15,G10)</calculatedColumnFormula>
    </tableColumn>
    <tableColumn id="9" xr3:uid="{C1F105F9-4B3E-4B43-9A29-9ECCD8CD8954}" name="Faktiškai dirbta, val." dataDxfId="18">
      <calculatedColumnFormula>PRODUCT(H10,8)</calculatedColumnFormula>
    </tableColumn>
    <tableColumn id="10" xr3:uid="{E5244BE9-25CC-481D-9AE4-8345EA00DF51}" name="Atlyginimas, €" dataDxfId="17">
      <calculatedColumnFormula>PRODUCT(F10,I10)</calculatedColumnFormula>
    </tableColumn>
    <tableColumn id="11" xr3:uid="{B8260BC4-55E6-4B12-9DF0-488F1DBE9CAA}" name="Mėnesinė priemoka, €" dataDxfId="16">
      <calculatedColumnFormula>IF(H10=G10,50,0)</calculatedColumnFormula>
    </tableColumn>
    <tableColumn id="12" xr3:uid="{A32489A8-46CC-49AD-BF2A-33BC482AD4E0}" name="Eilinės atostogos,  €" dataDxfId="15">
      <calculatedColumnFormula>IF(G10-H10&gt;4,J10/G10*(G10-H10),0)</calculatedColumnFormula>
    </tableColumn>
    <tableColumn id="13" xr3:uid="{D6ADF56B-A5C4-49DC-9A40-6E181F609B92}" name="Kompensacija už nepanaudotas atostogas,  €" dataDxfId="14"/>
    <tableColumn id="14" xr3:uid="{3967885C-8E22-44BF-8F92-0D16D87A7543}" name="Nedarbingumo pašalpa darbdavio lėšomis,  €" dataDxfId="13">
      <calculatedColumnFormula>IF(G10-H10&lt;=4,J10/G10*(G10-H10),0)</calculatedColumnFormula>
    </tableColumn>
    <tableColumn id="15" xr3:uid="{3864A3D3-6D9E-4470-855B-471DA047376F}" name="Priskaičiuota iš viso,  €" dataDxfId="12">
      <calculatedColumnFormula>SUM(J10:N10)</calculatedColumnFormula>
    </tableColumn>
    <tableColumn id="16" xr3:uid="{D7974C88-A3F0-4030-85D5-3A2BB311FC75}" name="pritaikytas NPD, €" dataDxfId="11">
      <calculatedColumnFormula>MAX(0,IF(O10&lt;=730,460,IF(O10&lt;=1678,460-0.26*(O10-730),400-0.18*(O10-642))))</calculatedColumnFormula>
    </tableColumn>
    <tableColumn id="17" xr3:uid="{7D367728-F8AB-45AA-8D3F-1B5C9C331F7C}" name="GPM, €" dataDxfId="10">
      <calculatedColumnFormula>PRODUCT(O10-P10,$G$1)</calculatedColumnFormula>
    </tableColumn>
    <tableColumn id="18" xr3:uid="{89B7A8E4-396A-4EF1-AFCA-7A4942CF0DFF}" name="VSD įmoka, €" dataDxfId="9">
      <calculatedColumnFormula>PRODUCT(O10-N10,$G$3)</calculatedColumnFormula>
    </tableColumn>
    <tableColumn id="19" xr3:uid="{CEEFCB26-E291-4FDB-AAEE-B07A6B9F0584}" name="PSD įmoka,  €" dataDxfId="8">
      <calculatedColumnFormula>PRODUCT(O10-N10,$G$4)</calculatedColumnFormula>
    </tableColumn>
    <tableColumn id="20" xr3:uid="{D16B28E4-1E1A-4571-A35E-DA191E5E5300}" name="Papildomas pensijinis kaupimas " dataDxfId="7">
      <calculatedColumnFormula>PRODUCT($G$6,O10)</calculatedColumnFormula>
    </tableColumn>
    <tableColumn id="21" xr3:uid="{8EAA0F1C-B678-4E13-9F2F-BD0A682CD079}" name="Išskaičiuota iš viso, €" dataDxfId="6">
      <calculatedColumnFormula>SUM(P10:T10)</calculatedColumnFormula>
    </tableColumn>
    <tableColumn id="22" xr3:uid="{BA4836D3-F937-45B4-A34A-880585A2FC1C}" name="Išmokėtina suma, €" dataDxfId="5">
      <calculatedColumnFormula>O10-U10</calculatedColumnFormula>
    </tableColumn>
    <tableColumn id="23" xr3:uid="{98EAD273-C7B8-44EC-BF19-C00433BA9E19}" name="Darbdavio VSD įmokos, €" dataDxfId="4">
      <calculatedColumnFormula>PRODUCT($G$5,O10)</calculatedColumnFormula>
    </tableColumn>
    <tableColumn id="24" xr3:uid="{E5C0F52F-7293-4EB3-96FD-42C43CFB92BC}" name="Avansas, €" dataDxfId="3">
      <calculatedColumnFormula>Darbuotojai!F6</calculatedColumnFormula>
    </tableColumn>
    <tableColumn id="25" xr3:uid="{C3037B5E-44BF-480F-918D-791B404E0FCC}" name="Išmokėtina suma po avanso, €" dataDxfId="2">
      <calculatedColumnFormula>V10-X10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opLeftCell="A26" workbookViewId="0">
      <selection activeCell="D55" sqref="D55"/>
    </sheetView>
  </sheetViews>
  <sheetFormatPr defaultRowHeight="15" x14ac:dyDescent="0.25"/>
  <cols>
    <col min="1" max="1" width="4.85546875" customWidth="1"/>
    <col min="2" max="2" width="34.5703125" customWidth="1"/>
    <col min="3" max="3" width="115.7109375" customWidth="1"/>
    <col min="4" max="4" width="16.140625" customWidth="1"/>
    <col min="8" max="8" width="31.85546875" customWidth="1"/>
  </cols>
  <sheetData>
    <row r="1" spans="1:4" ht="18.75" x14ac:dyDescent="0.3">
      <c r="A1" s="3" t="s">
        <v>33</v>
      </c>
    </row>
    <row r="3" spans="1:4" x14ac:dyDescent="0.25">
      <c r="A3" s="2" t="s">
        <v>34</v>
      </c>
    </row>
    <row r="4" spans="1:4" x14ac:dyDescent="0.25">
      <c r="B4" s="17" t="s">
        <v>35</v>
      </c>
      <c r="C4" s="17" t="s">
        <v>36</v>
      </c>
      <c r="D4" s="17" t="s">
        <v>83</v>
      </c>
    </row>
    <row r="5" spans="1:4" ht="15" customHeight="1" x14ac:dyDescent="0.25">
      <c r="A5">
        <v>1</v>
      </c>
      <c r="B5" s="8" t="s">
        <v>0</v>
      </c>
      <c r="C5" t="s">
        <v>37</v>
      </c>
    </row>
    <row r="6" spans="1:4" ht="15" customHeight="1" x14ac:dyDescent="0.25">
      <c r="A6">
        <v>2</v>
      </c>
      <c r="B6" s="8" t="s">
        <v>8</v>
      </c>
      <c r="C6" t="s">
        <v>38</v>
      </c>
    </row>
    <row r="7" spans="1:4" ht="15" customHeight="1" x14ac:dyDescent="0.25">
      <c r="A7">
        <v>3</v>
      </c>
      <c r="B7" s="8" t="s">
        <v>5</v>
      </c>
      <c r="C7" t="s">
        <v>44</v>
      </c>
      <c r="D7" t="s">
        <v>84</v>
      </c>
    </row>
    <row r="8" spans="1:4" ht="15" customHeight="1" x14ac:dyDescent="0.25">
      <c r="A8">
        <v>4</v>
      </c>
      <c r="B8" s="8" t="s">
        <v>17</v>
      </c>
      <c r="C8" t="s">
        <v>54</v>
      </c>
      <c r="D8" t="s">
        <v>87</v>
      </c>
    </row>
    <row r="9" spans="1:4" ht="15" customHeight="1" x14ac:dyDescent="0.25">
      <c r="A9">
        <v>5</v>
      </c>
      <c r="B9" s="8" t="s">
        <v>9</v>
      </c>
      <c r="C9" t="s">
        <v>48</v>
      </c>
    </row>
    <row r="10" spans="1:4" ht="15" customHeight="1" x14ac:dyDescent="0.25">
      <c r="A10">
        <v>6</v>
      </c>
      <c r="B10" s="8" t="s">
        <v>10</v>
      </c>
      <c r="C10" t="s">
        <v>93</v>
      </c>
      <c r="D10" t="s">
        <v>86</v>
      </c>
    </row>
    <row r="11" spans="1:4" ht="15" customHeight="1" x14ac:dyDescent="0.25">
      <c r="A11">
        <v>7</v>
      </c>
      <c r="B11" s="8" t="s">
        <v>11</v>
      </c>
      <c r="C11" t="s">
        <v>50</v>
      </c>
    </row>
    <row r="12" spans="1:4" ht="15" customHeight="1" x14ac:dyDescent="0.25">
      <c r="A12">
        <v>8</v>
      </c>
      <c r="B12" s="8" t="s">
        <v>12</v>
      </c>
      <c r="C12" t="s">
        <v>94</v>
      </c>
      <c r="D12" t="s">
        <v>85</v>
      </c>
    </row>
    <row r="13" spans="1:4" ht="15" customHeight="1" x14ac:dyDescent="0.25">
      <c r="A13">
        <v>9</v>
      </c>
      <c r="B13" s="8" t="s">
        <v>13</v>
      </c>
      <c r="C13" t="s">
        <v>51</v>
      </c>
    </row>
    <row r="14" spans="1:4" ht="15" customHeight="1" x14ac:dyDescent="0.25"/>
    <row r="16" spans="1:4" x14ac:dyDescent="0.25">
      <c r="A16" s="2" t="s">
        <v>52</v>
      </c>
    </row>
    <row r="17" spans="1:4" x14ac:dyDescent="0.25">
      <c r="B17" t="s">
        <v>35</v>
      </c>
      <c r="C17" t="s">
        <v>36</v>
      </c>
    </row>
    <row r="18" spans="1:4" x14ac:dyDescent="0.25">
      <c r="A18">
        <v>1</v>
      </c>
      <c r="B18" s="10" t="s">
        <v>75</v>
      </c>
      <c r="C18" t="s">
        <v>115</v>
      </c>
    </row>
    <row r="19" spans="1:4" x14ac:dyDescent="0.25">
      <c r="A19">
        <v>2</v>
      </c>
      <c r="B19" s="8" t="s">
        <v>14</v>
      </c>
      <c r="C19" t="s">
        <v>6</v>
      </c>
    </row>
    <row r="20" spans="1:4" x14ac:dyDescent="0.25">
      <c r="A20">
        <v>3</v>
      </c>
      <c r="B20" s="8" t="s">
        <v>15</v>
      </c>
      <c r="C20" t="s">
        <v>122</v>
      </c>
    </row>
    <row r="21" spans="1:4" x14ac:dyDescent="0.25">
      <c r="A21">
        <v>4</v>
      </c>
      <c r="B21" s="8" t="s">
        <v>16</v>
      </c>
      <c r="C21" t="s">
        <v>126</v>
      </c>
      <c r="D21" t="s">
        <v>123</v>
      </c>
    </row>
    <row r="22" spans="1:4" x14ac:dyDescent="0.25">
      <c r="A22">
        <v>5</v>
      </c>
      <c r="B22" s="8" t="s">
        <v>8</v>
      </c>
      <c r="C22" t="s">
        <v>53</v>
      </c>
    </row>
    <row r="23" spans="1:4" ht="17.25" customHeight="1" x14ac:dyDescent="0.25">
      <c r="A23">
        <v>6</v>
      </c>
      <c r="B23" s="8" t="s">
        <v>17</v>
      </c>
      <c r="C23" t="s">
        <v>55</v>
      </c>
      <c r="D23" t="s">
        <v>87</v>
      </c>
    </row>
    <row r="24" spans="1:4" ht="16.5" customHeight="1" x14ac:dyDescent="0.25">
      <c r="A24">
        <v>7</v>
      </c>
      <c r="B24" s="8" t="s">
        <v>9</v>
      </c>
      <c r="C24" t="s">
        <v>56</v>
      </c>
      <c r="D24" t="s">
        <v>87</v>
      </c>
    </row>
    <row r="25" spans="1:4" x14ac:dyDescent="0.25">
      <c r="A25">
        <v>8</v>
      </c>
      <c r="B25" s="8" t="s">
        <v>18</v>
      </c>
      <c r="C25" t="s">
        <v>69</v>
      </c>
    </row>
    <row r="26" spans="1:4" x14ac:dyDescent="0.25">
      <c r="A26">
        <v>9</v>
      </c>
      <c r="B26" s="8" t="s">
        <v>19</v>
      </c>
      <c r="C26" t="s">
        <v>61</v>
      </c>
      <c r="D26" t="s">
        <v>88</v>
      </c>
    </row>
    <row r="27" spans="1:4" x14ac:dyDescent="0.25">
      <c r="A27">
        <v>10</v>
      </c>
      <c r="B27" s="8" t="s">
        <v>20</v>
      </c>
      <c r="C27" t="s">
        <v>62</v>
      </c>
    </row>
    <row r="28" spans="1:4" x14ac:dyDescent="0.25">
      <c r="A28">
        <v>11</v>
      </c>
      <c r="B28" s="8" t="s">
        <v>21</v>
      </c>
      <c r="C28" t="s">
        <v>63</v>
      </c>
      <c r="D28" t="s">
        <v>89</v>
      </c>
    </row>
    <row r="29" spans="1:4" x14ac:dyDescent="0.25">
      <c r="A29">
        <v>12</v>
      </c>
      <c r="B29" s="8" t="s">
        <v>22</v>
      </c>
      <c r="C29" t="s">
        <v>64</v>
      </c>
      <c r="D29" t="s">
        <v>90</v>
      </c>
    </row>
    <row r="30" spans="1:4" ht="16.5" customHeight="1" x14ac:dyDescent="0.25">
      <c r="A30">
        <v>13</v>
      </c>
      <c r="B30" s="8" t="s">
        <v>23</v>
      </c>
      <c r="C30" t="s">
        <v>65</v>
      </c>
      <c r="D30" t="s">
        <v>90</v>
      </c>
    </row>
    <row r="31" spans="1:4" ht="30" x14ac:dyDescent="0.25">
      <c r="A31">
        <v>14</v>
      </c>
      <c r="B31" s="8" t="s">
        <v>24</v>
      </c>
      <c r="C31" s="15">
        <v>0</v>
      </c>
    </row>
    <row r="32" spans="1:4" ht="30" x14ac:dyDescent="0.25">
      <c r="A32">
        <v>15</v>
      </c>
      <c r="B32" s="8" t="s">
        <v>25</v>
      </c>
      <c r="C32" t="s">
        <v>70</v>
      </c>
      <c r="D32" t="s">
        <v>90</v>
      </c>
    </row>
    <row r="33" spans="1:18" x14ac:dyDescent="0.25">
      <c r="A33">
        <v>16</v>
      </c>
      <c r="B33" s="8" t="s">
        <v>26</v>
      </c>
      <c r="C33" t="s">
        <v>66</v>
      </c>
    </row>
    <row r="34" spans="1:18" ht="16.5" customHeight="1" x14ac:dyDescent="0.25">
      <c r="A34">
        <v>17</v>
      </c>
      <c r="B34" s="8" t="s">
        <v>27</v>
      </c>
      <c r="C34" s="5" t="s">
        <v>138</v>
      </c>
      <c r="D34" s="18"/>
      <c r="H34" s="29" t="s">
        <v>127</v>
      </c>
    </row>
    <row r="35" spans="1:18" ht="15.75" x14ac:dyDescent="0.25">
      <c r="A35">
        <v>18</v>
      </c>
      <c r="B35" s="8" t="s">
        <v>114</v>
      </c>
      <c r="C35" t="s">
        <v>116</v>
      </c>
      <c r="D35" t="s">
        <v>92</v>
      </c>
      <c r="G35" s="30" t="s">
        <v>128</v>
      </c>
      <c r="H35" t="s">
        <v>129</v>
      </c>
      <c r="M35" s="31"/>
    </row>
    <row r="36" spans="1:18" ht="17.25" customHeight="1" x14ac:dyDescent="0.25">
      <c r="A36">
        <v>19</v>
      </c>
      <c r="B36" s="8" t="s">
        <v>95</v>
      </c>
      <c r="C36" t="s">
        <v>124</v>
      </c>
      <c r="G36" s="30" t="s">
        <v>130</v>
      </c>
      <c r="H36" t="s">
        <v>131</v>
      </c>
      <c r="R36" t="s">
        <v>132</v>
      </c>
    </row>
    <row r="37" spans="1:18" x14ac:dyDescent="0.25">
      <c r="A37">
        <v>20</v>
      </c>
      <c r="B37" s="8" t="s">
        <v>47</v>
      </c>
      <c r="C37" t="s">
        <v>118</v>
      </c>
      <c r="G37" s="30" t="s">
        <v>133</v>
      </c>
      <c r="H37" t="s">
        <v>134</v>
      </c>
      <c r="R37" t="s">
        <v>135</v>
      </c>
    </row>
    <row r="38" spans="1:18" x14ac:dyDescent="0.25">
      <c r="A38">
        <v>21</v>
      </c>
      <c r="B38" s="8" t="s">
        <v>28</v>
      </c>
      <c r="C38" t="s">
        <v>58</v>
      </c>
      <c r="G38" s="30" t="s">
        <v>136</v>
      </c>
      <c r="H38" t="s">
        <v>137</v>
      </c>
    </row>
    <row r="39" spans="1:18" x14ac:dyDescent="0.25">
      <c r="A39">
        <v>22</v>
      </c>
      <c r="B39" s="8" t="s">
        <v>29</v>
      </c>
      <c r="C39" t="s">
        <v>57</v>
      </c>
    </row>
    <row r="40" spans="1:18" x14ac:dyDescent="0.25">
      <c r="A40">
        <v>23</v>
      </c>
      <c r="B40" s="8" t="s">
        <v>30</v>
      </c>
      <c r="C40" t="s">
        <v>117</v>
      </c>
    </row>
    <row r="41" spans="1:18" ht="15.75" customHeight="1" x14ac:dyDescent="0.25">
      <c r="A41">
        <v>24</v>
      </c>
      <c r="B41" s="8" t="s">
        <v>31</v>
      </c>
      <c r="C41" t="s">
        <v>59</v>
      </c>
      <c r="D41" t="s">
        <v>87</v>
      </c>
    </row>
    <row r="42" spans="1:18" x14ac:dyDescent="0.25">
      <c r="A42">
        <v>25</v>
      </c>
      <c r="B42" s="8" t="s">
        <v>32</v>
      </c>
      <c r="C42" t="s">
        <v>60</v>
      </c>
    </row>
    <row r="43" spans="1:18" x14ac:dyDescent="0.25">
      <c r="A43">
        <v>26</v>
      </c>
      <c r="B43" s="8" t="s">
        <v>4</v>
      </c>
      <c r="C43" t="s">
        <v>68</v>
      </c>
    </row>
    <row r="44" spans="1:18" x14ac:dyDescent="0.25">
      <c r="A44">
        <v>27</v>
      </c>
      <c r="B44" s="8" t="s">
        <v>106</v>
      </c>
      <c r="C44" t="s">
        <v>121</v>
      </c>
    </row>
    <row r="45" spans="1:18" x14ac:dyDescent="0.25">
      <c r="A45">
        <v>28</v>
      </c>
      <c r="B45" s="8" t="s">
        <v>78</v>
      </c>
      <c r="C45" t="s">
        <v>79</v>
      </c>
    </row>
    <row r="47" spans="1:18" ht="16.5" customHeight="1" x14ac:dyDescent="0.25">
      <c r="A47">
        <v>28</v>
      </c>
      <c r="B47" s="40" t="s">
        <v>80</v>
      </c>
      <c r="C47" s="40"/>
    </row>
    <row r="48" spans="1:18" ht="15" customHeight="1" x14ac:dyDescent="0.25">
      <c r="A48">
        <v>29</v>
      </c>
      <c r="B48" s="41" t="s">
        <v>125</v>
      </c>
      <c r="C48" s="41"/>
    </row>
    <row r="49" spans="1:2" x14ac:dyDescent="0.25">
      <c r="A49">
        <v>30</v>
      </c>
      <c r="B49" t="s">
        <v>82</v>
      </c>
    </row>
    <row r="50" spans="1:2" x14ac:dyDescent="0.25">
      <c r="A50">
        <v>31</v>
      </c>
      <c r="B50" t="s">
        <v>81</v>
      </c>
    </row>
    <row r="51" spans="1:2" x14ac:dyDescent="0.25">
      <c r="A51">
        <v>32</v>
      </c>
      <c r="B51" t="s">
        <v>91</v>
      </c>
    </row>
  </sheetData>
  <mergeCells count="2">
    <mergeCell ref="B47:C47"/>
    <mergeCell ref="B48:C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10"/>
  <sheetViews>
    <sheetView workbookViewId="0">
      <selection activeCell="G14" sqref="G14"/>
    </sheetView>
  </sheetViews>
  <sheetFormatPr defaultRowHeight="15" x14ac:dyDescent="0.25"/>
  <cols>
    <col min="1" max="1" width="4.5703125" customWidth="1"/>
    <col min="2" max="2" width="20.85546875" customWidth="1"/>
    <col min="3" max="3" width="15.5703125" customWidth="1"/>
    <col min="4" max="4" width="11.7109375" customWidth="1"/>
  </cols>
  <sheetData>
    <row r="3" spans="1:4" s="5" customFormat="1" ht="31.5" customHeight="1" x14ac:dyDescent="0.25">
      <c r="A3" s="9" t="s">
        <v>0</v>
      </c>
      <c r="B3" s="8" t="s">
        <v>39</v>
      </c>
      <c r="C3" s="8" t="s">
        <v>17</v>
      </c>
      <c r="D3" s="11" t="s">
        <v>42</v>
      </c>
    </row>
    <row r="4" spans="1:4" x14ac:dyDescent="0.25">
      <c r="A4" s="10">
        <v>1</v>
      </c>
      <c r="B4" s="1" t="s">
        <v>3</v>
      </c>
      <c r="C4" s="10">
        <v>2800</v>
      </c>
      <c r="D4" s="10">
        <v>1</v>
      </c>
    </row>
    <row r="5" spans="1:4" x14ac:dyDescent="0.25">
      <c r="A5" s="10">
        <v>2</v>
      </c>
      <c r="B5" s="1" t="s">
        <v>40</v>
      </c>
      <c r="C5" s="10">
        <v>1600</v>
      </c>
      <c r="D5" s="10">
        <v>2</v>
      </c>
    </row>
    <row r="6" spans="1:4" x14ac:dyDescent="0.25">
      <c r="A6" s="10">
        <v>3</v>
      </c>
      <c r="B6" s="1" t="s">
        <v>2</v>
      </c>
      <c r="C6" s="10">
        <v>1505</v>
      </c>
      <c r="D6" s="10">
        <v>1</v>
      </c>
    </row>
    <row r="7" spans="1:4" x14ac:dyDescent="0.25">
      <c r="A7" s="10">
        <v>4</v>
      </c>
      <c r="B7" s="1" t="s">
        <v>1</v>
      </c>
      <c r="C7" s="10">
        <v>1199</v>
      </c>
      <c r="D7" s="10">
        <v>2</v>
      </c>
    </row>
    <row r="8" spans="1:4" x14ac:dyDescent="0.25">
      <c r="A8" s="10">
        <v>5</v>
      </c>
      <c r="B8" s="1" t="s">
        <v>41</v>
      </c>
      <c r="C8" s="10">
        <v>1090</v>
      </c>
      <c r="D8" s="10">
        <v>2</v>
      </c>
    </row>
    <row r="9" spans="1:4" x14ac:dyDescent="0.25">
      <c r="A9" s="10">
        <v>6</v>
      </c>
      <c r="B9" s="1" t="s">
        <v>43</v>
      </c>
      <c r="C9" s="10">
        <v>980</v>
      </c>
      <c r="D9" s="10">
        <v>7</v>
      </c>
    </row>
    <row r="10" spans="1:4" x14ac:dyDescent="0.25">
      <c r="C10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"/>
  <sheetViews>
    <sheetView workbookViewId="0">
      <selection activeCell="F6" sqref="F6"/>
    </sheetView>
  </sheetViews>
  <sheetFormatPr defaultRowHeight="15" x14ac:dyDescent="0.25"/>
  <cols>
    <col min="1" max="1" width="5.7109375" customWidth="1"/>
    <col min="2" max="3" width="20.5703125" customWidth="1"/>
    <col min="4" max="4" width="15.28515625" customWidth="1"/>
    <col min="5" max="5" width="13" customWidth="1"/>
    <col min="6" max="6" width="12.28515625" customWidth="1"/>
    <col min="7" max="7" width="18" customWidth="1"/>
    <col min="8" max="8" width="24.5703125" customWidth="1"/>
    <col min="9" max="9" width="23.5703125" customWidth="1"/>
  </cols>
  <sheetData>
    <row r="1" spans="1:13" ht="39" customHeight="1" x14ac:dyDescent="0.25">
      <c r="A1" s="4" t="s">
        <v>7</v>
      </c>
    </row>
    <row r="5" spans="1:13" s="6" customFormat="1" ht="49.5" customHeight="1" x14ac:dyDescent="0.25">
      <c r="A5" s="8" t="s">
        <v>0</v>
      </c>
      <c r="B5" s="8" t="s">
        <v>8</v>
      </c>
      <c r="C5" s="8" t="s">
        <v>5</v>
      </c>
      <c r="D5" s="8" t="s">
        <v>17</v>
      </c>
      <c r="E5" s="8" t="s">
        <v>9</v>
      </c>
      <c r="F5" s="8" t="s">
        <v>10</v>
      </c>
      <c r="G5" s="8" t="s">
        <v>11</v>
      </c>
      <c r="H5" s="8" t="s">
        <v>12</v>
      </c>
      <c r="I5" s="8" t="s">
        <v>13</v>
      </c>
    </row>
    <row r="6" spans="1:13" x14ac:dyDescent="0.25">
      <c r="A6" s="37" t="s">
        <v>155</v>
      </c>
      <c r="B6" s="1" t="s">
        <v>170</v>
      </c>
      <c r="C6" s="1" t="str">
        <f>Pareigybės!B4</f>
        <v>Vadovas</v>
      </c>
      <c r="D6" s="38">
        <f>VLOOKUP(C6,Pareigybės!$B$4:$C$9,2,FALSE)</f>
        <v>2800</v>
      </c>
      <c r="E6" s="38">
        <f>D6/22/8</f>
        <v>15.909090909090908</v>
      </c>
      <c r="F6" s="38">
        <f ca="1">CHOOSE(RANDBETWEEN(1,2),150,200)</f>
        <v>150</v>
      </c>
      <c r="G6" s="10" t="s">
        <v>49</v>
      </c>
      <c r="H6" s="1" t="str">
        <f ca="1">CONCATENATE("+370 6",RANDBETWEEN(10,99)," ",RANDBETWEEN(10000,99999))</f>
        <v>+370 642 90124</v>
      </c>
      <c r="I6" s="1" t="s">
        <v>139</v>
      </c>
    </row>
    <row r="7" spans="1:13" x14ac:dyDescent="0.25">
      <c r="A7" s="37" t="s">
        <v>156</v>
      </c>
      <c r="B7" s="1" t="s">
        <v>171</v>
      </c>
      <c r="C7" s="1" t="str">
        <f>Pareigybės!B5</f>
        <v>Buhalterė</v>
      </c>
      <c r="D7" s="38">
        <f>VLOOKUP(C7,Pareigybės!$B$4:$C$9,2,FALSE)</f>
        <v>1600</v>
      </c>
      <c r="E7" s="38">
        <f t="shared" ref="E7:E20" si="0">D7/22/8</f>
        <v>9.0909090909090917</v>
      </c>
      <c r="F7" s="38">
        <f t="shared" ref="F7:F20" ca="1" si="1">CHOOSE(RANDBETWEEN(1,2),150,200)</f>
        <v>150</v>
      </c>
      <c r="G7" s="10" t="s">
        <v>49</v>
      </c>
      <c r="H7" s="1" t="str">
        <f t="shared" ref="H7:H20" ca="1" si="2">CONCATENATE("+370 6",RANDBETWEEN(10,99)," ",RANDBETWEEN(10000,99999))</f>
        <v>+370 695 49209</v>
      </c>
      <c r="I7" s="1" t="s">
        <v>140</v>
      </c>
    </row>
    <row r="8" spans="1:13" x14ac:dyDescent="0.25">
      <c r="A8" s="37" t="s">
        <v>157</v>
      </c>
      <c r="B8" s="1" t="s">
        <v>172</v>
      </c>
      <c r="C8" s="1" t="str">
        <f>Pareigybės!B5</f>
        <v>Buhalterė</v>
      </c>
      <c r="D8" s="38">
        <f>VLOOKUP(C8,Pareigybės!$B$4:$C$9,2,FALSE)</f>
        <v>1600</v>
      </c>
      <c r="E8" s="38">
        <f t="shared" si="0"/>
        <v>9.0909090909090917</v>
      </c>
      <c r="F8" s="38">
        <f t="shared" ca="1" si="1"/>
        <v>200</v>
      </c>
      <c r="G8" s="10" t="s">
        <v>49</v>
      </c>
      <c r="H8" s="1" t="str">
        <f t="shared" ca="1" si="2"/>
        <v>+370 631 51756</v>
      </c>
      <c r="I8" s="1" t="s">
        <v>141</v>
      </c>
    </row>
    <row r="9" spans="1:13" x14ac:dyDescent="0.25">
      <c r="A9" s="37" t="s">
        <v>158</v>
      </c>
      <c r="B9" s="1" t="s">
        <v>173</v>
      </c>
      <c r="C9" s="1" t="str">
        <f>Pareigybės!B6</f>
        <v>Administratorė</v>
      </c>
      <c r="D9" s="38">
        <f>VLOOKUP(C9,Pareigybės!$B$4:$C$9,2,FALSE)</f>
        <v>1505</v>
      </c>
      <c r="E9" s="38">
        <f t="shared" si="0"/>
        <v>8.5511363636363633</v>
      </c>
      <c r="F9" s="38">
        <f t="shared" ca="1" si="1"/>
        <v>200</v>
      </c>
      <c r="G9" s="10" t="s">
        <v>49</v>
      </c>
      <c r="H9" s="1" t="str">
        <f t="shared" ca="1" si="2"/>
        <v>+370 633 63122</v>
      </c>
      <c r="I9" s="1" t="s">
        <v>142</v>
      </c>
    </row>
    <row r="10" spans="1:13" x14ac:dyDescent="0.25">
      <c r="A10" s="37" t="s">
        <v>159</v>
      </c>
      <c r="B10" s="1" t="s">
        <v>174</v>
      </c>
      <c r="C10" s="1" t="str">
        <f>Pareigybės!B7</f>
        <v>Vadybininkas</v>
      </c>
      <c r="D10" s="38">
        <f>VLOOKUP(C10,Pareigybės!$B$4:$C$9,2,FALSE)</f>
        <v>1199</v>
      </c>
      <c r="E10" s="38">
        <f t="shared" si="0"/>
        <v>6.8125</v>
      </c>
      <c r="F10" s="38">
        <f t="shared" ca="1" si="1"/>
        <v>200</v>
      </c>
      <c r="G10" s="10" t="s">
        <v>49</v>
      </c>
      <c r="H10" s="1" t="str">
        <f t="shared" ca="1" si="2"/>
        <v>+370 698 24090</v>
      </c>
      <c r="I10" s="1" t="s">
        <v>143</v>
      </c>
      <c r="M10" s="32"/>
    </row>
    <row r="11" spans="1:13" x14ac:dyDescent="0.25">
      <c r="A11" s="37" t="s">
        <v>160</v>
      </c>
      <c r="B11" s="1" t="s">
        <v>175</v>
      </c>
      <c r="C11" s="1" t="str">
        <f>Pareigybės!B7</f>
        <v>Vadybininkas</v>
      </c>
      <c r="D11" s="38">
        <f>VLOOKUP(C11,Pareigybės!$B$4:$C$9,2,FALSE)</f>
        <v>1199</v>
      </c>
      <c r="E11" s="38">
        <f t="shared" si="0"/>
        <v>6.8125</v>
      </c>
      <c r="F11" s="38">
        <f t="shared" ca="1" si="1"/>
        <v>200</v>
      </c>
      <c r="G11" s="10" t="s">
        <v>49</v>
      </c>
      <c r="H11" s="1" t="str">
        <f t="shared" ca="1" si="2"/>
        <v>+370 676 27366</v>
      </c>
      <c r="I11" s="1" t="s">
        <v>144</v>
      </c>
      <c r="M11" s="32"/>
    </row>
    <row r="12" spans="1:13" x14ac:dyDescent="0.25">
      <c r="A12" s="37" t="s">
        <v>161</v>
      </c>
      <c r="B12" s="1" t="s">
        <v>176</v>
      </c>
      <c r="C12" s="1" t="str">
        <f>Pareigybės!B8</f>
        <v>Sandėlininkas</v>
      </c>
      <c r="D12" s="38">
        <f>VLOOKUP(C12,Pareigybės!$B$4:$C$9,2,FALSE)</f>
        <v>1090</v>
      </c>
      <c r="E12" s="38">
        <f t="shared" si="0"/>
        <v>6.1931818181818183</v>
      </c>
      <c r="F12" s="38">
        <f t="shared" ca="1" si="1"/>
        <v>150</v>
      </c>
      <c r="G12" s="10" t="s">
        <v>49</v>
      </c>
      <c r="H12" s="1" t="str">
        <f t="shared" ca="1" si="2"/>
        <v>+370 676 31491</v>
      </c>
      <c r="I12" s="1" t="s">
        <v>145</v>
      </c>
    </row>
    <row r="13" spans="1:13" x14ac:dyDescent="0.25">
      <c r="A13" s="37" t="s">
        <v>162</v>
      </c>
      <c r="B13" s="1" t="s">
        <v>177</v>
      </c>
      <c r="C13" s="1" t="str">
        <f>Pareigybės!B8</f>
        <v>Sandėlininkas</v>
      </c>
      <c r="D13" s="38">
        <f>VLOOKUP(C13,Pareigybės!$B$4:$C$9,2,FALSE)</f>
        <v>1090</v>
      </c>
      <c r="E13" s="38">
        <f t="shared" si="0"/>
        <v>6.1931818181818183</v>
      </c>
      <c r="F13" s="38">
        <f t="shared" ca="1" si="1"/>
        <v>200</v>
      </c>
      <c r="G13" s="10" t="s">
        <v>49</v>
      </c>
      <c r="H13" s="1" t="str">
        <f t="shared" ca="1" si="2"/>
        <v>+370 642 70153</v>
      </c>
      <c r="I13" s="1" t="s">
        <v>146</v>
      </c>
    </row>
    <row r="14" spans="1:13" x14ac:dyDescent="0.25">
      <c r="A14" s="37" t="s">
        <v>163</v>
      </c>
      <c r="B14" s="1" t="s">
        <v>178</v>
      </c>
      <c r="C14" s="1" t="str">
        <f>Pareigybės!B9</f>
        <v>Gamybos darbuotojas</v>
      </c>
      <c r="D14" s="38">
        <f>VLOOKUP(C14,Pareigybės!$B$4:$C$9,2,FALSE)</f>
        <v>980</v>
      </c>
      <c r="E14" s="38">
        <f t="shared" si="0"/>
        <v>5.5681818181818183</v>
      </c>
      <c r="F14" s="38">
        <f t="shared" ca="1" si="1"/>
        <v>150</v>
      </c>
      <c r="G14" s="10" t="s">
        <v>49</v>
      </c>
      <c r="H14" s="1" t="str">
        <f t="shared" ca="1" si="2"/>
        <v>+370 615 90294</v>
      </c>
      <c r="I14" s="1" t="s">
        <v>147</v>
      </c>
    </row>
    <row r="15" spans="1:13" x14ac:dyDescent="0.25">
      <c r="A15" s="37" t="s">
        <v>164</v>
      </c>
      <c r="B15" s="1" t="s">
        <v>179</v>
      </c>
      <c r="C15" s="1" t="str">
        <f>Pareigybės!B9</f>
        <v>Gamybos darbuotojas</v>
      </c>
      <c r="D15" s="38">
        <f>VLOOKUP(C15,Pareigybės!$B$4:$C$9,2,FALSE)</f>
        <v>980</v>
      </c>
      <c r="E15" s="38">
        <f t="shared" si="0"/>
        <v>5.5681818181818183</v>
      </c>
      <c r="F15" s="38">
        <f t="shared" ca="1" si="1"/>
        <v>150</v>
      </c>
      <c r="G15" s="10" t="s">
        <v>49</v>
      </c>
      <c r="H15" s="1" t="str">
        <f t="shared" ca="1" si="2"/>
        <v>+370 648 95174</v>
      </c>
      <c r="I15" s="1" t="s">
        <v>148</v>
      </c>
    </row>
    <row r="16" spans="1:13" x14ac:dyDescent="0.25">
      <c r="A16" s="37" t="s">
        <v>165</v>
      </c>
      <c r="B16" s="1" t="s">
        <v>180</v>
      </c>
      <c r="C16" s="1" t="str">
        <f>Pareigybės!B9</f>
        <v>Gamybos darbuotojas</v>
      </c>
      <c r="D16" s="38">
        <f>VLOOKUP(C16,Pareigybės!$B$4:$C$9,2,FALSE)</f>
        <v>980</v>
      </c>
      <c r="E16" s="38">
        <f t="shared" si="0"/>
        <v>5.5681818181818183</v>
      </c>
      <c r="F16" s="38">
        <f t="shared" ca="1" si="1"/>
        <v>150</v>
      </c>
      <c r="G16" s="10" t="s">
        <v>49</v>
      </c>
      <c r="H16" s="1" t="str">
        <f t="shared" ca="1" si="2"/>
        <v>+370 678 63815</v>
      </c>
      <c r="I16" s="1" t="s">
        <v>149</v>
      </c>
    </row>
    <row r="17" spans="1:9" x14ac:dyDescent="0.25">
      <c r="A17" s="37" t="s">
        <v>166</v>
      </c>
      <c r="B17" s="1" t="s">
        <v>181</v>
      </c>
      <c r="C17" s="1" t="str">
        <f>Pareigybės!B9</f>
        <v>Gamybos darbuotojas</v>
      </c>
      <c r="D17" s="38">
        <f>VLOOKUP(C17,Pareigybės!$B$4:$C$9,2,FALSE)</f>
        <v>980</v>
      </c>
      <c r="E17" s="38">
        <f t="shared" si="0"/>
        <v>5.5681818181818183</v>
      </c>
      <c r="F17" s="38">
        <f t="shared" ca="1" si="1"/>
        <v>200</v>
      </c>
      <c r="G17" s="10" t="s">
        <v>49</v>
      </c>
      <c r="H17" s="1" t="str">
        <f t="shared" ca="1" si="2"/>
        <v>+370 667 13191</v>
      </c>
      <c r="I17" s="1" t="s">
        <v>150</v>
      </c>
    </row>
    <row r="18" spans="1:9" x14ac:dyDescent="0.25">
      <c r="A18" s="37" t="s">
        <v>167</v>
      </c>
      <c r="B18" s="1" t="s">
        <v>182</v>
      </c>
      <c r="C18" s="1" t="str">
        <f>Pareigybės!B9</f>
        <v>Gamybos darbuotojas</v>
      </c>
      <c r="D18" s="38">
        <f>VLOOKUP(C18,Pareigybės!$B$4:$C$9,2,FALSE)</f>
        <v>980</v>
      </c>
      <c r="E18" s="38">
        <f t="shared" si="0"/>
        <v>5.5681818181818183</v>
      </c>
      <c r="F18" s="38">
        <f t="shared" ca="1" si="1"/>
        <v>200</v>
      </c>
      <c r="G18" s="10" t="s">
        <v>49</v>
      </c>
      <c r="H18" s="1" t="str">
        <f t="shared" ca="1" si="2"/>
        <v>+370 670 48875</v>
      </c>
      <c r="I18" s="1" t="s">
        <v>151</v>
      </c>
    </row>
    <row r="19" spans="1:9" x14ac:dyDescent="0.25">
      <c r="A19" s="37" t="s">
        <v>168</v>
      </c>
      <c r="B19" s="1" t="s">
        <v>183</v>
      </c>
      <c r="C19" s="1" t="str">
        <f>Pareigybės!B9</f>
        <v>Gamybos darbuotojas</v>
      </c>
      <c r="D19" s="38">
        <f>VLOOKUP(C19,Pareigybės!$B$4:$C$9,2,FALSE)</f>
        <v>980</v>
      </c>
      <c r="E19" s="38">
        <f t="shared" si="0"/>
        <v>5.5681818181818183</v>
      </c>
      <c r="F19" s="38">
        <f t="shared" ca="1" si="1"/>
        <v>150</v>
      </c>
      <c r="G19" s="10" t="s">
        <v>49</v>
      </c>
      <c r="H19" s="1" t="str">
        <f t="shared" ca="1" si="2"/>
        <v>+370 617 93382</v>
      </c>
      <c r="I19" s="1" t="s">
        <v>152</v>
      </c>
    </row>
    <row r="20" spans="1:9" x14ac:dyDescent="0.25">
      <c r="A20" s="37" t="s">
        <v>169</v>
      </c>
      <c r="B20" s="1" t="s">
        <v>184</v>
      </c>
      <c r="C20" s="1" t="str">
        <f>Pareigybės!B9</f>
        <v>Gamybos darbuotojas</v>
      </c>
      <c r="D20" s="38">
        <f>VLOOKUP(C20,Pareigybės!$B$4:$C$9,2,FALSE)</f>
        <v>980</v>
      </c>
      <c r="E20" s="38">
        <f t="shared" si="0"/>
        <v>5.5681818181818183</v>
      </c>
      <c r="F20" s="38">
        <f t="shared" ca="1" si="1"/>
        <v>200</v>
      </c>
      <c r="G20" s="10" t="s">
        <v>49</v>
      </c>
      <c r="H20" s="1" t="str">
        <f t="shared" ca="1" si="2"/>
        <v>+370 622 59283</v>
      </c>
      <c r="I20" s="1" t="s">
        <v>153</v>
      </c>
    </row>
    <row r="27" spans="1:9" x14ac:dyDescent="0.25">
      <c r="B27" s="14"/>
      <c r="C27" s="12"/>
      <c r="H27" s="12"/>
    </row>
    <row r="28" spans="1:9" x14ac:dyDescent="0.25">
      <c r="B28" s="14"/>
      <c r="C28" s="12"/>
      <c r="H28" s="12"/>
    </row>
    <row r="29" spans="1:9" x14ac:dyDescent="0.25">
      <c r="C29" s="12"/>
      <c r="H29" s="12"/>
    </row>
    <row r="30" spans="1:9" x14ac:dyDescent="0.25">
      <c r="C30" s="12"/>
      <c r="H30" s="12"/>
    </row>
    <row r="31" spans="1:9" x14ac:dyDescent="0.25">
      <c r="C31" s="12"/>
      <c r="H31" s="12"/>
    </row>
    <row r="32" spans="1:9" x14ac:dyDescent="0.25">
      <c r="C32" s="13"/>
      <c r="H32" s="13"/>
    </row>
    <row r="33" spans="3:8" x14ac:dyDescent="0.25">
      <c r="C33" s="12"/>
      <c r="H33" s="12"/>
    </row>
    <row r="34" spans="3:8" x14ac:dyDescent="0.25">
      <c r="C34" s="12"/>
      <c r="H34" s="12"/>
    </row>
    <row r="35" spans="3:8" x14ac:dyDescent="0.25">
      <c r="C35" s="12"/>
      <c r="H35" s="12"/>
    </row>
    <row r="36" spans="3:8" x14ac:dyDescent="0.25">
      <c r="C36" s="12"/>
      <c r="H36" s="12"/>
    </row>
    <row r="37" spans="3:8" x14ac:dyDescent="0.25">
      <c r="C37" s="12"/>
      <c r="H37" s="12"/>
    </row>
    <row r="38" spans="3:8" x14ac:dyDescent="0.25">
      <c r="C38" s="12"/>
      <c r="H38" s="12"/>
    </row>
    <row r="39" spans="3:8" x14ac:dyDescent="0.25">
      <c r="C39" s="12"/>
      <c r="H39" s="12"/>
    </row>
  </sheetData>
  <phoneticPr fontId="1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4"/>
  <sheetViews>
    <sheetView topLeftCell="A9" zoomScale="85" zoomScaleNormal="85" workbookViewId="0">
      <selection activeCell="R44" sqref="R44"/>
    </sheetView>
  </sheetViews>
  <sheetFormatPr defaultColWidth="9.140625" defaultRowHeight="15" x14ac:dyDescent="0.25"/>
  <cols>
    <col min="1" max="1" width="19.28515625" style="19" customWidth="1"/>
    <col min="2" max="2" width="6.28515625" style="19" customWidth="1"/>
    <col min="3" max="3" width="17.28515625" style="19" customWidth="1"/>
    <col min="4" max="4" width="18.5703125" style="19" customWidth="1"/>
    <col min="5" max="5" width="14.140625" style="19" customWidth="1"/>
    <col min="6" max="6" width="15" style="19" customWidth="1"/>
    <col min="7" max="7" width="13.28515625" style="19" customWidth="1"/>
    <col min="8" max="8" width="9.5703125" style="19" customWidth="1"/>
    <col min="9" max="9" width="11.28515625" style="19" customWidth="1"/>
    <col min="10" max="10" width="15.140625" style="19" customWidth="1"/>
    <col min="11" max="11" width="12.28515625" style="19" customWidth="1"/>
    <col min="12" max="12" width="14.85546875" style="19" customWidth="1"/>
    <col min="13" max="13" width="22.140625" style="19" customWidth="1"/>
    <col min="14" max="14" width="20.85546875" style="19" customWidth="1"/>
    <col min="15" max="15" width="15.28515625" style="19" customWidth="1"/>
    <col min="16" max="16" width="18.28515625" style="19" customWidth="1"/>
    <col min="17" max="17" width="10.140625" style="19" customWidth="1"/>
    <col min="18" max="18" width="14.42578125" style="19" customWidth="1"/>
    <col min="19" max="19" width="14.85546875" style="19" customWidth="1"/>
    <col min="20" max="20" width="20.140625" style="19" customWidth="1"/>
    <col min="21" max="21" width="13.28515625" style="19" customWidth="1"/>
    <col min="22" max="22" width="19.42578125" style="19" customWidth="1"/>
    <col min="23" max="23" width="16" style="19" customWidth="1"/>
    <col min="24" max="24" width="13.5703125" style="19" bestFit="1" customWidth="1"/>
    <col min="25" max="25" width="15.7109375" style="19" customWidth="1"/>
    <col min="26" max="16384" width="9.140625" style="19"/>
  </cols>
  <sheetData>
    <row r="1" spans="1:25" ht="18.75" customHeight="1" x14ac:dyDescent="0.25">
      <c r="A1" s="2" t="s">
        <v>71</v>
      </c>
      <c r="F1" s="20" t="s">
        <v>112</v>
      </c>
      <c r="G1" s="21">
        <v>0.2</v>
      </c>
      <c r="J1" s="42" t="s">
        <v>4</v>
      </c>
      <c r="K1" s="42"/>
      <c r="L1" s="22">
        <v>2E-3</v>
      </c>
      <c r="N1" s="44" t="s">
        <v>97</v>
      </c>
      <c r="O1" s="44"/>
      <c r="P1" s="44"/>
      <c r="Q1" s="44"/>
      <c r="R1" s="27">
        <v>1.6000000000000001E-3</v>
      </c>
      <c r="S1" s="34">
        <f ca="1">PRODUCT(V7,R1)</f>
        <v>9.837506532892565</v>
      </c>
    </row>
    <row r="2" spans="1:25" ht="15.75" customHeight="1" x14ac:dyDescent="0.25">
      <c r="A2" s="19" t="s">
        <v>72</v>
      </c>
      <c r="F2" s="20" t="s">
        <v>113</v>
      </c>
      <c r="G2" s="21">
        <v>0.27</v>
      </c>
      <c r="J2" s="43" t="s">
        <v>76</v>
      </c>
      <c r="K2" s="43"/>
      <c r="L2" s="35">
        <f ca="1">PRODUCT(V7,L1)</f>
        <v>12.296883166115705</v>
      </c>
      <c r="N2" s="44" t="s">
        <v>98</v>
      </c>
      <c r="O2" s="44"/>
      <c r="P2" s="44"/>
      <c r="Q2" s="44"/>
      <c r="R2" s="24">
        <v>1.4E-3</v>
      </c>
      <c r="S2" s="35">
        <f ca="1">PRODUCT(V7,R2)</f>
        <v>8.6078182162809931</v>
      </c>
    </row>
    <row r="3" spans="1:25" ht="17.25" customHeight="1" x14ac:dyDescent="0.25">
      <c r="A3" s="2" t="s">
        <v>73</v>
      </c>
      <c r="F3" s="20" t="s">
        <v>45</v>
      </c>
      <c r="G3" s="25">
        <v>0.1429</v>
      </c>
    </row>
    <row r="4" spans="1:25" ht="14.25" customHeight="1" x14ac:dyDescent="0.25">
      <c r="A4" s="2"/>
      <c r="F4" s="20" t="s">
        <v>96</v>
      </c>
      <c r="G4" s="25">
        <v>6.9800000000000001E-2</v>
      </c>
    </row>
    <row r="5" spans="1:25" x14ac:dyDescent="0.25">
      <c r="A5" s="2" t="s">
        <v>185</v>
      </c>
      <c r="F5" s="20" t="s">
        <v>46</v>
      </c>
      <c r="G5" s="25">
        <v>1.77E-2</v>
      </c>
    </row>
    <row r="6" spans="1:25" x14ac:dyDescent="0.25">
      <c r="F6" s="20" t="s">
        <v>47</v>
      </c>
      <c r="G6" s="21">
        <v>0.03</v>
      </c>
    </row>
    <row r="7" spans="1:25" x14ac:dyDescent="0.25">
      <c r="A7" s="16" t="s">
        <v>74</v>
      </c>
      <c r="F7" s="20" t="s">
        <v>67</v>
      </c>
      <c r="G7" s="21">
        <v>0.65</v>
      </c>
      <c r="I7" s="19" t="s">
        <v>77</v>
      </c>
      <c r="J7" s="35">
        <f ca="1">SUM(J10:J24)</f>
        <v>15683.545454545454</v>
      </c>
      <c r="K7" s="35">
        <f t="shared" ref="K7:X7" ca="1" si="0">SUM(K10:K24)</f>
        <v>50</v>
      </c>
      <c r="L7" s="35">
        <f t="shared" ca="1" si="0"/>
        <v>1969.8719008264459</v>
      </c>
      <c r="M7" s="35">
        <f t="shared" si="0"/>
        <v>0</v>
      </c>
      <c r="N7" s="35">
        <f t="shared" ca="1" si="0"/>
        <v>469.29752066115708</v>
      </c>
      <c r="O7" s="35">
        <f ca="1">SUM(O10:O24)</f>
        <v>18172.71487603306</v>
      </c>
      <c r="P7" s="35">
        <f t="shared" ca="1" si="0"/>
        <v>5098.7899999999991</v>
      </c>
      <c r="Q7" s="35">
        <f t="shared" ca="1" si="0"/>
        <v>2614.7849752066122</v>
      </c>
      <c r="R7" s="35">
        <f t="shared" ca="1" si="0"/>
        <v>2529.8183400826447</v>
      </c>
      <c r="S7" s="35">
        <f t="shared" ca="1" si="0"/>
        <v>1235.6985314049584</v>
      </c>
      <c r="T7" s="35">
        <f ca="1">SUM(T10:T24)</f>
        <v>545.18144628099185</v>
      </c>
      <c r="U7" s="35">
        <f t="shared" ca="1" si="0"/>
        <v>12024.273292975206</v>
      </c>
      <c r="V7" s="35">
        <f t="shared" ca="1" si="0"/>
        <v>6148.4415830578528</v>
      </c>
      <c r="W7" s="35">
        <f t="shared" ca="1" si="0"/>
        <v>321.6570533057851</v>
      </c>
      <c r="X7" s="35">
        <f t="shared" ca="1" si="0"/>
        <v>2650</v>
      </c>
      <c r="Y7" s="35">
        <f ca="1">SUM(Y10:Y24)</f>
        <v>3498.4415830578519</v>
      </c>
    </row>
    <row r="9" spans="1:25" s="26" customFormat="1" ht="30" x14ac:dyDescent="0.25">
      <c r="A9" s="47" t="s">
        <v>14</v>
      </c>
      <c r="B9" s="48" t="s">
        <v>15</v>
      </c>
      <c r="C9" s="48" t="s">
        <v>16</v>
      </c>
      <c r="D9" s="48" t="s">
        <v>8</v>
      </c>
      <c r="E9" s="48" t="s">
        <v>101</v>
      </c>
      <c r="F9" s="48" t="s">
        <v>102</v>
      </c>
      <c r="G9" s="48" t="s">
        <v>18</v>
      </c>
      <c r="H9" s="48" t="s">
        <v>19</v>
      </c>
      <c r="I9" s="48" t="s">
        <v>20</v>
      </c>
      <c r="J9" s="48" t="s">
        <v>103</v>
      </c>
      <c r="K9" s="48" t="s">
        <v>104</v>
      </c>
      <c r="L9" s="48" t="s">
        <v>23</v>
      </c>
      <c r="M9" s="48" t="s">
        <v>24</v>
      </c>
      <c r="N9" s="48" t="s">
        <v>25</v>
      </c>
      <c r="O9" s="48" t="s">
        <v>26</v>
      </c>
      <c r="P9" s="48" t="s">
        <v>105</v>
      </c>
      <c r="Q9" s="48" t="s">
        <v>111</v>
      </c>
      <c r="R9" s="48" t="s">
        <v>99</v>
      </c>
      <c r="S9" s="48" t="s">
        <v>100</v>
      </c>
      <c r="T9" s="48" t="s">
        <v>47</v>
      </c>
      <c r="U9" s="48" t="s">
        <v>28</v>
      </c>
      <c r="V9" s="48" t="s">
        <v>29</v>
      </c>
      <c r="W9" s="48" t="s">
        <v>30</v>
      </c>
      <c r="X9" s="48" t="s">
        <v>31</v>
      </c>
      <c r="Y9" s="49" t="s">
        <v>32</v>
      </c>
    </row>
    <row r="10" spans="1:25" x14ac:dyDescent="0.25">
      <c r="A10" s="45" t="s">
        <v>154</v>
      </c>
      <c r="B10" s="39" t="str">
        <f>"03"</f>
        <v>03</v>
      </c>
      <c r="C10" s="36">
        <f>DATE(2026,3,15)</f>
        <v>46096</v>
      </c>
      <c r="D10" s="1" t="str">
        <f>Darbuotojai!B6</f>
        <v>Darbuotojas1</v>
      </c>
      <c r="E10" s="23">
        <f>Darbuotojai!D6</f>
        <v>2800</v>
      </c>
      <c r="F10" s="35">
        <f>Darbuotojai!E6</f>
        <v>15.909090909090908</v>
      </c>
      <c r="G10" s="23">
        <f>NETWORKDAYS(2026-3-31,2026-3-1,2026-3-11)</f>
        <v>22</v>
      </c>
      <c r="H10" s="23">
        <f ca="1">RANDBETWEEN(15,G10)</f>
        <v>21</v>
      </c>
      <c r="I10" s="23">
        <f ca="1">PRODUCT(H10,8)</f>
        <v>168</v>
      </c>
      <c r="J10" s="35">
        <f ca="1">PRODUCT(F10,I10)</f>
        <v>2672.7272727272725</v>
      </c>
      <c r="K10" s="35">
        <f ca="1">IF(H10=G10,50,0)</f>
        <v>0</v>
      </c>
      <c r="L10" s="35">
        <f ca="1">IF(G10-H10&gt;4,J10/G10*(G10-H10),0)</f>
        <v>0</v>
      </c>
      <c r="M10" s="35">
        <v>0</v>
      </c>
      <c r="N10" s="35">
        <f ca="1">IF(G10-H10&lt;=4,J10/G10*(G10-H10),0)</f>
        <v>121.48760330578511</v>
      </c>
      <c r="O10" s="35">
        <f ca="1">SUM(J10:N10)</f>
        <v>2794.2148760330574</v>
      </c>
      <c r="P10" s="35">
        <f ca="1">IF(IF(O10&lt;=730,460,IF(O10&lt;1678,460-0.26*O10,IF(O10&gt;1678,460-0.18*O10)))&gt;0,IF(O10&lt;=730,460,IF(O10&lt;1678,460-0.26*O10,IF(O10&gt;1678,460-0.18*O10))),0)</f>
        <v>0</v>
      </c>
      <c r="Q10" s="35">
        <f ca="1">PRODUCT(O10-P10,$G$1)</f>
        <v>558.84297520661153</v>
      </c>
      <c r="R10" s="35">
        <f ca="1">PRODUCT(O10-N10,$G$3)</f>
        <v>381.93272727272716</v>
      </c>
      <c r="S10" s="35">
        <f ca="1">PRODUCT(O10-N10,$G$4)</f>
        <v>186.55636363636359</v>
      </c>
      <c r="T10" s="35">
        <f ca="1">PRODUCT($G$6,O10)</f>
        <v>83.826446280991718</v>
      </c>
      <c r="U10" s="35">
        <f ca="1">SUM(P10:T10)</f>
        <v>1211.1585123966938</v>
      </c>
      <c r="V10" s="35">
        <f ca="1">O10-U10</f>
        <v>1583.0563636363636</v>
      </c>
      <c r="W10" s="35">
        <f ca="1">PRODUCT($G$5,O10)</f>
        <v>49.457603305785121</v>
      </c>
      <c r="X10" s="35">
        <f ca="1">Darbuotojai!F6</f>
        <v>150</v>
      </c>
      <c r="Y10" s="46">
        <f ca="1">V10-X10</f>
        <v>1433.0563636363636</v>
      </c>
    </row>
    <row r="11" spans="1:25" x14ac:dyDescent="0.25">
      <c r="A11" s="45" t="s">
        <v>154</v>
      </c>
      <c r="B11" s="39" t="str">
        <f>"03"</f>
        <v>03</v>
      </c>
      <c r="C11" s="36">
        <f>DATE(2026,3,15)</f>
        <v>46096</v>
      </c>
      <c r="D11" s="1" t="str">
        <f>Darbuotojai!B7</f>
        <v>Darbuotojas2</v>
      </c>
      <c r="E11" s="23">
        <f>Darbuotojai!D7</f>
        <v>1600</v>
      </c>
      <c r="F11" s="35">
        <f>Darbuotojai!E7</f>
        <v>9.0909090909090917</v>
      </c>
      <c r="G11" s="23">
        <f>NETWORKDAYS(2026-3-31,2026-3-1,2026-3-11)</f>
        <v>22</v>
      </c>
      <c r="H11" s="23">
        <f ca="1">RANDBETWEEN(15,G11)</f>
        <v>22</v>
      </c>
      <c r="I11" s="23">
        <f ca="1">PRODUCT(H11,8)</f>
        <v>176</v>
      </c>
      <c r="J11" s="35">
        <f ca="1">PRODUCT(F11,I11)</f>
        <v>1600.0000000000002</v>
      </c>
      <c r="K11" s="35">
        <f ca="1">IF(H11=G11,50,0)</f>
        <v>50</v>
      </c>
      <c r="L11" s="35">
        <f ca="1">IF(G11-H11&gt;4,J11/G11*(G11-H11),0)</f>
        <v>0</v>
      </c>
      <c r="M11" s="35">
        <v>0</v>
      </c>
      <c r="N11" s="35">
        <f ca="1">IF(G11-H11&lt;=4,J11/G11*(G11-H11),0)</f>
        <v>0</v>
      </c>
      <c r="O11" s="35">
        <f ca="1">SUM(J11:N11)</f>
        <v>1650.0000000000002</v>
      </c>
      <c r="P11" s="35">
        <f ca="1">MAX(0,IF(O11&lt;=730,460,IF(O11&lt;=1678,460-0.26*(O11-730),400-0.18*(O11-642))))</f>
        <v>220.79999999999993</v>
      </c>
      <c r="Q11" s="35">
        <f ca="1">PRODUCT(O11-P11,$G$1)</f>
        <v>285.84000000000009</v>
      </c>
      <c r="R11" s="35">
        <f ca="1">PRODUCT(O11-N11,$G$3)</f>
        <v>235.78500000000003</v>
      </c>
      <c r="S11" s="35">
        <f ca="1">PRODUCT(O11-N11,$G$4)</f>
        <v>115.17000000000002</v>
      </c>
      <c r="T11" s="35">
        <f ca="1">PRODUCT($G$6,O11)</f>
        <v>49.500000000000007</v>
      </c>
      <c r="U11" s="35">
        <f ca="1">SUM(P11:T11)</f>
        <v>907.09500000000003</v>
      </c>
      <c r="V11" s="35">
        <f ca="1">O11-U11</f>
        <v>742.9050000000002</v>
      </c>
      <c r="W11" s="35">
        <f ca="1">PRODUCT($G$5,O11)</f>
        <v>29.205000000000005</v>
      </c>
      <c r="X11" s="35">
        <f ca="1">Darbuotojai!F7</f>
        <v>150</v>
      </c>
      <c r="Y11" s="46">
        <f ca="1">V11-X11</f>
        <v>592.9050000000002</v>
      </c>
    </row>
    <row r="12" spans="1:25" x14ac:dyDescent="0.25">
      <c r="A12" s="45" t="s">
        <v>154</v>
      </c>
      <c r="B12" s="39" t="str">
        <f>"03"</f>
        <v>03</v>
      </c>
      <c r="C12" s="36">
        <f>DATE(2026,3,15)</f>
        <v>46096</v>
      </c>
      <c r="D12" s="1" t="str">
        <f>Darbuotojai!B8</f>
        <v>Darbuotojas3</v>
      </c>
      <c r="E12" s="23">
        <f>Darbuotojai!D8</f>
        <v>1600</v>
      </c>
      <c r="F12" s="35">
        <f>Darbuotojai!E8</f>
        <v>9.0909090909090917</v>
      </c>
      <c r="G12" s="23">
        <f>NETWORKDAYS(2026-3-31,2026-3-1,2026-3-11)</f>
        <v>22</v>
      </c>
      <c r="H12" s="23">
        <f ca="1">RANDBETWEEN(15,G12)</f>
        <v>21</v>
      </c>
      <c r="I12" s="23">
        <f ca="1">PRODUCT(H12,8)</f>
        <v>168</v>
      </c>
      <c r="J12" s="35">
        <f ca="1">PRODUCT(F12,I12)</f>
        <v>1527.2727272727275</v>
      </c>
      <c r="K12" s="35">
        <f ca="1">IF(H12=G12,50,0)</f>
        <v>0</v>
      </c>
      <c r="L12" s="35">
        <f ca="1">IF(G12-H12&gt;4,J12/G12*(G12-H12),0)</f>
        <v>0</v>
      </c>
      <c r="M12" s="35">
        <v>0</v>
      </c>
      <c r="N12" s="35">
        <f ca="1">IF(G12-H12&lt;=4,J12/G12*(G12-H12),0)</f>
        <v>69.421487603305792</v>
      </c>
      <c r="O12" s="35">
        <f ca="1">SUM(J12:N12)</f>
        <v>1596.6942148760334</v>
      </c>
      <c r="P12" s="35">
        <f ca="1">MAX(0,IF(O12&lt;=730,460,IF(O12&lt;=1678,460-0.26*(O12-730),400-0.18*(O12-642))))</f>
        <v>234.65950413223132</v>
      </c>
      <c r="Q12" s="35">
        <f ca="1">PRODUCT(O12-P12,$G$1)</f>
        <v>272.40694214876038</v>
      </c>
      <c r="R12" s="35">
        <f ca="1">PRODUCT(O12-N12,$G$3)</f>
        <v>218.24727272727276</v>
      </c>
      <c r="S12" s="35">
        <f ca="1">PRODUCT(O12-N12,$G$4)</f>
        <v>106.60363636363638</v>
      </c>
      <c r="T12" s="35">
        <f ca="1">PRODUCT($G$6,O12)</f>
        <v>47.900826446281002</v>
      </c>
      <c r="U12" s="35">
        <f ca="1">SUM(P12:T12)</f>
        <v>879.81818181818187</v>
      </c>
      <c r="V12" s="35">
        <f ca="1">O12-U12</f>
        <v>716.87603305785149</v>
      </c>
      <c r="W12" s="35">
        <f ca="1">PRODUCT($G$5,O12)</f>
        <v>28.261487603305792</v>
      </c>
      <c r="X12" s="35">
        <f ca="1">Darbuotojai!F8</f>
        <v>200</v>
      </c>
      <c r="Y12" s="46">
        <f ca="1">V12-X12</f>
        <v>516.87603305785149</v>
      </c>
    </row>
    <row r="13" spans="1:25" x14ac:dyDescent="0.25">
      <c r="A13" s="45" t="s">
        <v>154</v>
      </c>
      <c r="B13" s="39" t="str">
        <f>"03"</f>
        <v>03</v>
      </c>
      <c r="C13" s="36">
        <f>DATE(2026,3,15)</f>
        <v>46096</v>
      </c>
      <c r="D13" s="1" t="str">
        <f>Darbuotojai!B9</f>
        <v>Darbuotojas4</v>
      </c>
      <c r="E13" s="23">
        <f>Darbuotojai!D9</f>
        <v>1505</v>
      </c>
      <c r="F13" s="35">
        <f>Darbuotojai!E9</f>
        <v>8.5511363636363633</v>
      </c>
      <c r="G13" s="23">
        <f>NETWORKDAYS(2026-3-31,2026-3-1,2026-3-11)</f>
        <v>22</v>
      </c>
      <c r="H13" s="23">
        <f ca="1">RANDBETWEEN(15,G13)</f>
        <v>16</v>
      </c>
      <c r="I13" s="23">
        <f ca="1">PRODUCT(H13,8)</f>
        <v>128</v>
      </c>
      <c r="J13" s="35">
        <f ca="1">PRODUCT(F13,I13)</f>
        <v>1094.5454545454545</v>
      </c>
      <c r="K13" s="35">
        <f ca="1">IF(H13=G13,50,0)</f>
        <v>0</v>
      </c>
      <c r="L13" s="35">
        <f ca="1">IF(G13-H13&gt;4,J13/G13*(G13-H13),0)</f>
        <v>298.51239669421489</v>
      </c>
      <c r="M13" s="35">
        <v>0</v>
      </c>
      <c r="N13" s="35">
        <f ca="1">IF(G13-H13&lt;=4,J13/G13*(G13-H13),0)</f>
        <v>0</v>
      </c>
      <c r="O13" s="35">
        <f ca="1">SUM(J13:N13)</f>
        <v>1393.0578512396694</v>
      </c>
      <c r="P13" s="35">
        <f ca="1">MAX(0,IF(O13&lt;=730,460,IF(O13&lt;=1678,460-0.26*(O13-730),400-0.18*(O13-642))))</f>
        <v>287.60495867768594</v>
      </c>
      <c r="Q13" s="35">
        <f ca="1">PRODUCT(O13-P13,$G$1)</f>
        <v>221.09057851239669</v>
      </c>
      <c r="R13" s="35">
        <f ca="1">PRODUCT(O13-N13,$G$3)</f>
        <v>199.06796694214876</v>
      </c>
      <c r="S13" s="35">
        <f ca="1">PRODUCT(O13-N13,$G$4)</f>
        <v>97.235438016528931</v>
      </c>
      <c r="T13" s="35">
        <f ca="1">PRODUCT($G$6,O13)</f>
        <v>41.791735537190078</v>
      </c>
      <c r="U13" s="35">
        <f ca="1">SUM(P13:T13)</f>
        <v>846.79067768595053</v>
      </c>
      <c r="V13" s="35">
        <f ca="1">O13-U13</f>
        <v>546.26717355371886</v>
      </c>
      <c r="W13" s="35">
        <f ca="1">PRODUCT($G$5,O13)</f>
        <v>24.657123966942148</v>
      </c>
      <c r="X13" s="35">
        <f ca="1">Darbuotojai!F9</f>
        <v>200</v>
      </c>
      <c r="Y13" s="46">
        <f ca="1">V13-X13</f>
        <v>346.26717355371886</v>
      </c>
    </row>
    <row r="14" spans="1:25" x14ac:dyDescent="0.25">
      <c r="A14" s="45" t="s">
        <v>154</v>
      </c>
      <c r="B14" s="39" t="str">
        <f>"03"</f>
        <v>03</v>
      </c>
      <c r="C14" s="36">
        <f>DATE(2026,3,15)</f>
        <v>46096</v>
      </c>
      <c r="D14" s="1" t="str">
        <f>Darbuotojai!B10</f>
        <v>Darbuotojas5</v>
      </c>
      <c r="E14" s="23">
        <f>Darbuotojai!D10</f>
        <v>1199</v>
      </c>
      <c r="F14" s="35">
        <f>Darbuotojai!E10</f>
        <v>6.8125</v>
      </c>
      <c r="G14" s="23">
        <f>NETWORKDAYS(2026-3-31,2026-3-1,2026-3-11)</f>
        <v>22</v>
      </c>
      <c r="H14" s="23">
        <f ca="1">RANDBETWEEN(15,G14)</f>
        <v>16</v>
      </c>
      <c r="I14" s="23">
        <f ca="1">PRODUCT(H14,8)</f>
        <v>128</v>
      </c>
      <c r="J14" s="35">
        <f ca="1">PRODUCT(F14,I14)</f>
        <v>872</v>
      </c>
      <c r="K14" s="35">
        <f ca="1">IF(H14=G14,50,0)</f>
        <v>0</v>
      </c>
      <c r="L14" s="35">
        <f ca="1">IF(G14-H14&gt;4,J14/G14*(G14-H14),0)</f>
        <v>237.81818181818181</v>
      </c>
      <c r="M14" s="35">
        <v>0</v>
      </c>
      <c r="N14" s="35">
        <f ca="1">IF(G14-H14&lt;=4,J14/G14*(G14-H14),0)</f>
        <v>0</v>
      </c>
      <c r="O14" s="35">
        <f ca="1">SUM(J14:N14)</f>
        <v>1109.8181818181818</v>
      </c>
      <c r="P14" s="35">
        <f ca="1">MAX(0,IF(O14&lt;=730,460,IF(O14&lt;=1678,460-0.26*(O14-730),400-0.18*(O14-642))))</f>
        <v>361.24727272727273</v>
      </c>
      <c r="Q14" s="35">
        <f ca="1">PRODUCT(O14-P14,$G$1)</f>
        <v>149.7141818181818</v>
      </c>
      <c r="R14" s="35">
        <f ca="1">PRODUCT(O14-N14,$G$3)</f>
        <v>158.59301818181817</v>
      </c>
      <c r="S14" s="35">
        <f ca="1">PRODUCT(O14-N14,$G$4)</f>
        <v>77.465309090909088</v>
      </c>
      <c r="T14" s="35">
        <f ca="1">PRODUCT($G$6,O14)</f>
        <v>33.29454545454545</v>
      </c>
      <c r="U14" s="35">
        <f ca="1">SUM(P14:T14)</f>
        <v>780.31432727272716</v>
      </c>
      <c r="V14" s="35">
        <f ca="1">O14-U14</f>
        <v>329.5038545454546</v>
      </c>
      <c r="W14" s="35">
        <f ca="1">PRODUCT($G$5,O14)</f>
        <v>19.643781818181818</v>
      </c>
      <c r="X14" s="35">
        <f ca="1">Darbuotojai!F10</f>
        <v>200</v>
      </c>
      <c r="Y14" s="46">
        <f ca="1">V14-X14</f>
        <v>129.5038545454546</v>
      </c>
    </row>
    <row r="15" spans="1:25" x14ac:dyDescent="0.25">
      <c r="A15" s="45" t="s">
        <v>154</v>
      </c>
      <c r="B15" s="39" t="str">
        <f>"03"</f>
        <v>03</v>
      </c>
      <c r="C15" s="36">
        <f>DATE(2026,3,15)</f>
        <v>46096</v>
      </c>
      <c r="D15" s="1" t="str">
        <f>Darbuotojai!B11</f>
        <v>Darbuotojas6</v>
      </c>
      <c r="E15" s="23">
        <f>Darbuotojai!D11</f>
        <v>1199</v>
      </c>
      <c r="F15" s="35">
        <f>Darbuotojai!E11</f>
        <v>6.8125</v>
      </c>
      <c r="G15" s="23">
        <f>NETWORKDAYS(2026-3-31,2026-3-1,2026-3-11)</f>
        <v>22</v>
      </c>
      <c r="H15" s="23">
        <f ca="1">RANDBETWEEN(15,G15)</f>
        <v>16</v>
      </c>
      <c r="I15" s="23">
        <f ca="1">PRODUCT(H15,8)</f>
        <v>128</v>
      </c>
      <c r="J15" s="35">
        <f ca="1">PRODUCT(F15,I15)</f>
        <v>872</v>
      </c>
      <c r="K15" s="35">
        <f ca="1">IF(H15=G15,50,0)</f>
        <v>0</v>
      </c>
      <c r="L15" s="35">
        <f ca="1">IF(G15-H15&gt;4,J15/G15*(G15-H15),0)</f>
        <v>237.81818181818181</v>
      </c>
      <c r="M15" s="35">
        <v>0</v>
      </c>
      <c r="N15" s="35">
        <f ca="1">IF(G15-H15&lt;=4,J15/G15*(G15-H15),0)</f>
        <v>0</v>
      </c>
      <c r="O15" s="35">
        <f ca="1">SUM(J15:N15)</f>
        <v>1109.8181818181818</v>
      </c>
      <c r="P15" s="35">
        <f ca="1">MAX(0,IF(O15&lt;=730,460,IF(O15&lt;=1678,460-0.26*(O15-730),400-0.18*(O15-642))))</f>
        <v>361.24727272727273</v>
      </c>
      <c r="Q15" s="35">
        <f ca="1">PRODUCT(O15-P15,$G$1)</f>
        <v>149.7141818181818</v>
      </c>
      <c r="R15" s="35">
        <f ca="1">PRODUCT(O15-N15,$G$3)</f>
        <v>158.59301818181817</v>
      </c>
      <c r="S15" s="35">
        <f ca="1">PRODUCT(O15-N15,$G$4)</f>
        <v>77.465309090909088</v>
      </c>
      <c r="T15" s="35">
        <f ca="1">PRODUCT($G$6,O15)</f>
        <v>33.29454545454545</v>
      </c>
      <c r="U15" s="35">
        <f ca="1">SUM(P15:T15)</f>
        <v>780.31432727272716</v>
      </c>
      <c r="V15" s="35">
        <f ca="1">O15-U15</f>
        <v>329.5038545454546</v>
      </c>
      <c r="W15" s="35">
        <f ca="1">PRODUCT($G$5,O15)</f>
        <v>19.643781818181818</v>
      </c>
      <c r="X15" s="35">
        <f ca="1">Darbuotojai!F11</f>
        <v>200</v>
      </c>
      <c r="Y15" s="46">
        <f ca="1">V15-X15</f>
        <v>129.5038545454546</v>
      </c>
    </row>
    <row r="16" spans="1:25" x14ac:dyDescent="0.25">
      <c r="A16" s="45" t="s">
        <v>154</v>
      </c>
      <c r="B16" s="39" t="str">
        <f>"03"</f>
        <v>03</v>
      </c>
      <c r="C16" s="36">
        <f>DATE(2026,3,15)</f>
        <v>46096</v>
      </c>
      <c r="D16" s="1" t="str">
        <f>Darbuotojai!B12</f>
        <v>Darbuotojas7</v>
      </c>
      <c r="E16" s="23">
        <f>Darbuotojai!D12</f>
        <v>1090</v>
      </c>
      <c r="F16" s="35">
        <f>Darbuotojai!E12</f>
        <v>6.1931818181818183</v>
      </c>
      <c r="G16" s="23">
        <f>NETWORKDAYS(2026-3-31,2026-3-1,2026-3-11)</f>
        <v>22</v>
      </c>
      <c r="H16" s="23">
        <f ca="1">RANDBETWEEN(15,G16)</f>
        <v>20</v>
      </c>
      <c r="I16" s="23">
        <f ca="1">PRODUCT(H16,8)</f>
        <v>160</v>
      </c>
      <c r="J16" s="35">
        <f ca="1">PRODUCT(F16,I16)</f>
        <v>990.90909090909099</v>
      </c>
      <c r="K16" s="35">
        <f ca="1">IF(H16=G16,50,0)</f>
        <v>0</v>
      </c>
      <c r="L16" s="35">
        <f ca="1">IF(G16-H16&gt;4,J16/G16*(G16-H16),0)</f>
        <v>0</v>
      </c>
      <c r="M16" s="35">
        <v>0</v>
      </c>
      <c r="N16" s="35">
        <f ca="1">IF(G16-H16&lt;=4,J16/G16*(G16-H16),0)</f>
        <v>90.082644628099175</v>
      </c>
      <c r="O16" s="35">
        <f ca="1">SUM(J16:N16)</f>
        <v>1080.9917355371902</v>
      </c>
      <c r="P16" s="35">
        <f ca="1">MAX(0,IF(O16&lt;=730,460,IF(O16&lt;=1678,460-0.26*(O16-730),400-0.18*(O16-642))))</f>
        <v>368.74214876033056</v>
      </c>
      <c r="Q16" s="35">
        <f ca="1">PRODUCT(O16-P16,$G$1)</f>
        <v>142.44991735537192</v>
      </c>
      <c r="R16" s="35">
        <f ca="1">PRODUCT(O16-N16,$G$3)</f>
        <v>141.60090909090911</v>
      </c>
      <c r="S16" s="35">
        <f ca="1">PRODUCT(O16-N16,$G$4)</f>
        <v>69.165454545454551</v>
      </c>
      <c r="T16" s="35">
        <f ca="1">PRODUCT($G$6,O16)</f>
        <v>32.429752066115704</v>
      </c>
      <c r="U16" s="35">
        <f ca="1">SUM(P16:T16)</f>
        <v>754.38818181818181</v>
      </c>
      <c r="V16" s="35">
        <f ca="1">O16-U16</f>
        <v>326.60355371900835</v>
      </c>
      <c r="W16" s="35">
        <f ca="1">PRODUCT($G$5,O16)</f>
        <v>19.133553719008265</v>
      </c>
      <c r="X16" s="35">
        <f ca="1">Darbuotojai!F12</f>
        <v>150</v>
      </c>
      <c r="Y16" s="46">
        <f ca="1">V16-X16</f>
        <v>176.60355371900835</v>
      </c>
    </row>
    <row r="17" spans="1:25" x14ac:dyDescent="0.25">
      <c r="A17" s="45" t="s">
        <v>154</v>
      </c>
      <c r="B17" s="39" t="str">
        <f>"03"</f>
        <v>03</v>
      </c>
      <c r="C17" s="36">
        <f>DATE(2026,3,15)</f>
        <v>46096</v>
      </c>
      <c r="D17" s="1" t="str">
        <f>Darbuotojai!B13</f>
        <v>Darbuotojas8</v>
      </c>
      <c r="E17" s="23">
        <f>Darbuotojai!D13</f>
        <v>1090</v>
      </c>
      <c r="F17" s="35">
        <f>Darbuotojai!E13</f>
        <v>6.1931818181818183</v>
      </c>
      <c r="G17" s="23">
        <f>NETWORKDAYS(2026-3-31,2026-3-1,2026-3-11)</f>
        <v>22</v>
      </c>
      <c r="H17" s="23">
        <f ca="1">RANDBETWEEN(15,G17)</f>
        <v>17</v>
      </c>
      <c r="I17" s="23">
        <f ca="1">PRODUCT(H17,8)</f>
        <v>136</v>
      </c>
      <c r="J17" s="35">
        <f ca="1">PRODUCT(F17,I17)</f>
        <v>842.27272727272725</v>
      </c>
      <c r="K17" s="35">
        <f ca="1">IF(H17=G17,50,0)</f>
        <v>0</v>
      </c>
      <c r="L17" s="35">
        <f ca="1">IF(G17-H17&gt;4,J17/G17*(G17-H17),0)</f>
        <v>191.42561983471072</v>
      </c>
      <c r="M17" s="35">
        <v>0</v>
      </c>
      <c r="N17" s="35">
        <f ca="1">IF(G17-H17&lt;=4,J17/G17*(G17-H17),0)</f>
        <v>0</v>
      </c>
      <c r="O17" s="35">
        <f ca="1">SUM(J17:N17)</f>
        <v>1033.6983471074379</v>
      </c>
      <c r="P17" s="35">
        <f ca="1">MAX(0,IF(O17&lt;=730,460,IF(O17&lt;=1678,460-0.26*(O17-730),400-0.18*(O17-642))))</f>
        <v>381.03842975206612</v>
      </c>
      <c r="Q17" s="35">
        <f ca="1">PRODUCT(O17-P17,$G$1)</f>
        <v>130.53198347107437</v>
      </c>
      <c r="R17" s="35">
        <f ca="1">PRODUCT(O17-N17,$G$3)</f>
        <v>147.71549380165288</v>
      </c>
      <c r="S17" s="35">
        <f ca="1">PRODUCT(O17-N17,$G$4)</f>
        <v>72.152144628099165</v>
      </c>
      <c r="T17" s="35">
        <f ca="1">PRODUCT($G$6,O17)</f>
        <v>31.010950413223139</v>
      </c>
      <c r="U17" s="35">
        <f ca="1">SUM(P17:T17)</f>
        <v>762.44900206611555</v>
      </c>
      <c r="V17" s="35">
        <f ca="1">O17-U17</f>
        <v>271.24934504132239</v>
      </c>
      <c r="W17" s="35">
        <f ca="1">PRODUCT($G$5,O17)</f>
        <v>18.296460743801653</v>
      </c>
      <c r="X17" s="35">
        <f ca="1">Darbuotojai!F13</f>
        <v>200</v>
      </c>
      <c r="Y17" s="46">
        <f ca="1">V17-X17</f>
        <v>71.249345041322385</v>
      </c>
    </row>
    <row r="18" spans="1:25" x14ac:dyDescent="0.25">
      <c r="A18" s="45" t="s">
        <v>154</v>
      </c>
      <c r="B18" s="39" t="str">
        <f>"03"</f>
        <v>03</v>
      </c>
      <c r="C18" s="36">
        <f>DATE(2026,3,15)</f>
        <v>46096</v>
      </c>
      <c r="D18" s="1" t="str">
        <f>Darbuotojai!B14</f>
        <v>Darbuotojas9</v>
      </c>
      <c r="E18" s="23">
        <f>Darbuotojai!D14</f>
        <v>980</v>
      </c>
      <c r="F18" s="35">
        <f>Darbuotojai!E14</f>
        <v>5.5681818181818183</v>
      </c>
      <c r="G18" s="23">
        <f>NETWORKDAYS(2026-3-31,2026-3-1,2026-3-11)</f>
        <v>22</v>
      </c>
      <c r="H18" s="23">
        <f ca="1">RANDBETWEEN(15,G18)</f>
        <v>15</v>
      </c>
      <c r="I18" s="23">
        <f ca="1">PRODUCT(H18,8)</f>
        <v>120</v>
      </c>
      <c r="J18" s="35">
        <f ca="1">PRODUCT(F18,I18)</f>
        <v>668.18181818181824</v>
      </c>
      <c r="K18" s="35">
        <f ca="1">IF(H18=G18,50,0)</f>
        <v>0</v>
      </c>
      <c r="L18" s="35">
        <f ca="1">IF(G18-H18&gt;4,J18/G18*(G18-H18),0)</f>
        <v>212.60330578512398</v>
      </c>
      <c r="M18" s="35">
        <v>0</v>
      </c>
      <c r="N18" s="35">
        <f ca="1">IF(G18-H18&lt;=4,J18/G18*(G18-H18),0)</f>
        <v>0</v>
      </c>
      <c r="O18" s="35">
        <f ca="1">SUM(J18:N18)</f>
        <v>880.78512396694225</v>
      </c>
      <c r="P18" s="35">
        <f ca="1">MAX(0,IF(O18&lt;=730,460,IF(O18&lt;=1678,460-0.26*(O18-730),400-0.18*(O18-642))))</f>
        <v>420.79586776859503</v>
      </c>
      <c r="Q18" s="35">
        <f ca="1">PRODUCT(O18-P18,$G$1)</f>
        <v>91.997851239669444</v>
      </c>
      <c r="R18" s="35">
        <f ca="1">PRODUCT(O18-N18,$G$3)</f>
        <v>125.86419421487605</v>
      </c>
      <c r="S18" s="35">
        <f ca="1">PRODUCT(O18-N18,$G$4)</f>
        <v>61.478801652892571</v>
      </c>
      <c r="T18" s="35">
        <f ca="1">PRODUCT($G$6,O18)</f>
        <v>26.423553719008268</v>
      </c>
      <c r="U18" s="35">
        <f ca="1">SUM(P18:T18)</f>
        <v>726.56026859504141</v>
      </c>
      <c r="V18" s="35">
        <f ca="1">O18-U18</f>
        <v>154.22485537190084</v>
      </c>
      <c r="W18" s="35">
        <f ca="1">PRODUCT($G$5,O18)</f>
        <v>15.589896694214879</v>
      </c>
      <c r="X18" s="35">
        <f ca="1">Darbuotojai!F14</f>
        <v>150</v>
      </c>
      <c r="Y18" s="46">
        <f ca="1">V18-X18</f>
        <v>4.2248553719008441</v>
      </c>
    </row>
    <row r="19" spans="1:25" x14ac:dyDescent="0.25">
      <c r="A19" s="45" t="s">
        <v>154</v>
      </c>
      <c r="B19" s="39" t="str">
        <f>"03"</f>
        <v>03</v>
      </c>
      <c r="C19" s="36">
        <f>DATE(2026,3,15)</f>
        <v>46096</v>
      </c>
      <c r="D19" s="1" t="str">
        <f>Darbuotojai!B15</f>
        <v>Darbuotojas10</v>
      </c>
      <c r="E19" s="23">
        <f>Darbuotojai!D15</f>
        <v>980</v>
      </c>
      <c r="F19" s="35">
        <f>Darbuotojai!E15</f>
        <v>5.5681818181818183</v>
      </c>
      <c r="G19" s="23">
        <f>NETWORKDAYS(2026-3-31,2026-3-1,2026-3-11)</f>
        <v>22</v>
      </c>
      <c r="H19" s="23">
        <f ca="1">RANDBETWEEN(15,G19)</f>
        <v>18</v>
      </c>
      <c r="I19" s="23">
        <f ca="1">PRODUCT(H19,8)</f>
        <v>144</v>
      </c>
      <c r="J19" s="35">
        <f ca="1">PRODUCT(F19,I19)</f>
        <v>801.81818181818187</v>
      </c>
      <c r="K19" s="35">
        <f ca="1">IF(H19=G19,50,0)</f>
        <v>0</v>
      </c>
      <c r="L19" s="35">
        <f ca="1">IF(G19-H19&gt;4,J19/G19*(G19-H19),0)</f>
        <v>0</v>
      </c>
      <c r="M19" s="35">
        <v>0</v>
      </c>
      <c r="N19" s="35">
        <f ca="1">IF(G19-H19&lt;=4,J19/G19*(G19-H19),0)</f>
        <v>145.78512396694217</v>
      </c>
      <c r="O19" s="35">
        <f ca="1">SUM(J19:N19)</f>
        <v>947.60330578512401</v>
      </c>
      <c r="P19" s="35">
        <f ca="1">MAX(0,IF(O19&lt;=730,460,IF(O19&lt;=1678,460-0.26*(O19-730),400-0.18*(O19-642))))</f>
        <v>403.42314049586776</v>
      </c>
      <c r="Q19" s="35">
        <f ca="1">PRODUCT(O19-P19,$G$1)</f>
        <v>108.83603305785125</v>
      </c>
      <c r="R19" s="35">
        <f ca="1">PRODUCT(O19-N19,$G$3)</f>
        <v>114.57981818181818</v>
      </c>
      <c r="S19" s="35">
        <f ca="1">PRODUCT(O19-N19,$G$4)</f>
        <v>55.966909090909098</v>
      </c>
      <c r="T19" s="35">
        <f ca="1">PRODUCT($G$6,O19)</f>
        <v>28.428099173553719</v>
      </c>
      <c r="U19" s="35">
        <f ca="1">SUM(P19:T19)</f>
        <v>711.23400000000004</v>
      </c>
      <c r="V19" s="35">
        <f ca="1">O19-U19</f>
        <v>236.36930578512397</v>
      </c>
      <c r="W19" s="35">
        <f ca="1">PRODUCT($G$5,O19)</f>
        <v>16.772578512396695</v>
      </c>
      <c r="X19" s="35">
        <f ca="1">Darbuotojai!F15</f>
        <v>150</v>
      </c>
      <c r="Y19" s="46">
        <f ca="1">V19-X19</f>
        <v>86.36930578512397</v>
      </c>
    </row>
    <row r="20" spans="1:25" x14ac:dyDescent="0.25">
      <c r="A20" s="45" t="s">
        <v>154</v>
      </c>
      <c r="B20" s="39" t="str">
        <f>"03"</f>
        <v>03</v>
      </c>
      <c r="C20" s="36">
        <f>DATE(2026,3,15)</f>
        <v>46096</v>
      </c>
      <c r="D20" s="1" t="str">
        <f>Darbuotojai!B16</f>
        <v>Darbuotojas11</v>
      </c>
      <c r="E20" s="23">
        <f>Darbuotojai!D16</f>
        <v>980</v>
      </c>
      <c r="F20" s="35">
        <f>Darbuotojai!E16</f>
        <v>5.5681818181818183</v>
      </c>
      <c r="G20" s="23">
        <f>NETWORKDAYS(2026-3-31,2026-3-1,2026-3-11)</f>
        <v>22</v>
      </c>
      <c r="H20" s="23">
        <f ca="1">RANDBETWEEN(15,G20)</f>
        <v>17</v>
      </c>
      <c r="I20" s="23">
        <f ca="1">PRODUCT(H20,8)</f>
        <v>136</v>
      </c>
      <c r="J20" s="35">
        <f ca="1">PRODUCT(F20,I20)</f>
        <v>757.27272727272725</v>
      </c>
      <c r="K20" s="35">
        <f ca="1">IF(H20=G20,50,0)</f>
        <v>0</v>
      </c>
      <c r="L20" s="35">
        <f ca="1">IF(G20-H20&gt;4,J20/G20*(G20-H20),0)</f>
        <v>172.10743801652893</v>
      </c>
      <c r="M20" s="35">
        <v>0</v>
      </c>
      <c r="N20" s="35">
        <f ca="1">IF(G20-H20&lt;=4,J20/G20*(G20-H20),0)</f>
        <v>0</v>
      </c>
      <c r="O20" s="35">
        <f ca="1">SUM(J20:N20)</f>
        <v>929.38016528925618</v>
      </c>
      <c r="P20" s="35">
        <f ca="1">MAX(0,IF(O20&lt;=730,460,IF(O20&lt;=1678,460-0.26*(O20-730),400-0.18*(O20-642))))</f>
        <v>408.1611570247934</v>
      </c>
      <c r="Q20" s="35">
        <f ca="1">PRODUCT(O20-P20,$G$1)</f>
        <v>104.24380165289256</v>
      </c>
      <c r="R20" s="35">
        <f ca="1">PRODUCT(O20-N20,$G$3)</f>
        <v>132.80842561983471</v>
      </c>
      <c r="S20" s="35">
        <f ca="1">PRODUCT(O20-N20,$G$4)</f>
        <v>64.870735537190086</v>
      </c>
      <c r="T20" s="35">
        <f ca="1">PRODUCT($G$6,O20)</f>
        <v>27.881404958677685</v>
      </c>
      <c r="U20" s="35">
        <f ca="1">SUM(P20:T20)</f>
        <v>737.96552479338834</v>
      </c>
      <c r="V20" s="35">
        <f ca="1">O20-U20</f>
        <v>191.41464049586784</v>
      </c>
      <c r="W20" s="35">
        <f ca="1">PRODUCT($G$5,O20)</f>
        <v>16.450028925619836</v>
      </c>
      <c r="X20" s="35">
        <f ca="1">Darbuotojai!F16</f>
        <v>150</v>
      </c>
      <c r="Y20" s="46">
        <f ca="1">V20-X20</f>
        <v>41.414640495867843</v>
      </c>
    </row>
    <row r="21" spans="1:25" x14ac:dyDescent="0.25">
      <c r="A21" s="45" t="s">
        <v>154</v>
      </c>
      <c r="B21" s="39" t="str">
        <f>"03"</f>
        <v>03</v>
      </c>
      <c r="C21" s="36">
        <f>DATE(2026,3,15)</f>
        <v>46096</v>
      </c>
      <c r="D21" s="1" t="str">
        <f>Darbuotojai!B17</f>
        <v>Darbuotojas12</v>
      </c>
      <c r="E21" s="23">
        <f>Darbuotojai!D17</f>
        <v>980</v>
      </c>
      <c r="F21" s="35">
        <f>Darbuotojai!E17</f>
        <v>5.5681818181818183</v>
      </c>
      <c r="G21" s="23">
        <f>NETWORKDAYS(2026-3-31,2026-3-1,2026-3-11)</f>
        <v>22</v>
      </c>
      <c r="H21" s="23">
        <f ca="1">RANDBETWEEN(15,G21)</f>
        <v>16</v>
      </c>
      <c r="I21" s="23">
        <f ca="1">PRODUCT(H21,8)</f>
        <v>128</v>
      </c>
      <c r="J21" s="35">
        <f ca="1">PRODUCT(F21,I21)</f>
        <v>712.72727272727275</v>
      </c>
      <c r="K21" s="35">
        <f ca="1">IF(H21=G21,50,0)</f>
        <v>0</v>
      </c>
      <c r="L21" s="35">
        <f ca="1">IF(G21-H21&gt;4,J21/G21*(G21-H21),0)</f>
        <v>194.38016528925621</v>
      </c>
      <c r="M21" s="35">
        <v>0</v>
      </c>
      <c r="N21" s="35">
        <f ca="1">IF(G21-H21&lt;=4,J21/G21*(G21-H21),0)</f>
        <v>0</v>
      </c>
      <c r="O21" s="35">
        <f ca="1">SUM(J21:N21)</f>
        <v>907.10743801652893</v>
      </c>
      <c r="P21" s="35">
        <f ca="1">MAX(0,IF(O21&lt;=730,460,IF(O21&lt;=1678,460-0.26*(O21-730),400-0.18*(O21-642))))</f>
        <v>413.95206611570245</v>
      </c>
      <c r="Q21" s="35">
        <f ca="1">PRODUCT(O21-P21,$G$1)</f>
        <v>98.631074380165302</v>
      </c>
      <c r="R21" s="35">
        <f ca="1">PRODUCT(O21-N21,$G$3)</f>
        <v>129.62565289256199</v>
      </c>
      <c r="S21" s="35">
        <f ca="1">PRODUCT(O21-N21,$G$4)</f>
        <v>63.316099173553724</v>
      </c>
      <c r="T21" s="35">
        <f ca="1">PRODUCT($G$6,O21)</f>
        <v>27.213223140495867</v>
      </c>
      <c r="U21" s="35">
        <f ca="1">SUM(P21:T21)</f>
        <v>732.73811570247938</v>
      </c>
      <c r="V21" s="35">
        <f ca="1">O21-U21</f>
        <v>174.36932231404955</v>
      </c>
      <c r="W21" s="35">
        <f ca="1">PRODUCT($G$5,O21)</f>
        <v>16.055801652892562</v>
      </c>
      <c r="X21" s="35">
        <f ca="1">Darbuotojai!F17</f>
        <v>200</v>
      </c>
      <c r="Y21" s="46">
        <f ca="1">V21-X21</f>
        <v>-25.630677685950445</v>
      </c>
    </row>
    <row r="22" spans="1:25" x14ac:dyDescent="0.25">
      <c r="A22" s="45" t="s">
        <v>154</v>
      </c>
      <c r="B22" s="39" t="str">
        <f>"03"</f>
        <v>03</v>
      </c>
      <c r="C22" s="36">
        <f>DATE(2026,3,15)</f>
        <v>46096</v>
      </c>
      <c r="D22" s="1" t="str">
        <f>Darbuotojai!B18</f>
        <v>Darbuotojas13</v>
      </c>
      <c r="E22" s="23">
        <f>Darbuotojai!D18</f>
        <v>980</v>
      </c>
      <c r="F22" s="35">
        <f>Darbuotojai!E18</f>
        <v>5.5681818181818183</v>
      </c>
      <c r="G22" s="23">
        <f>NETWORKDAYS(2026-3-31,2026-3-1,2026-3-11)</f>
        <v>22</v>
      </c>
      <c r="H22" s="23">
        <f ca="1">RANDBETWEEN(15,G22)</f>
        <v>21</v>
      </c>
      <c r="I22" s="23">
        <f ca="1">PRODUCT(H22,8)</f>
        <v>168</v>
      </c>
      <c r="J22" s="35">
        <f ca="1">PRODUCT(F22,I22)</f>
        <v>935.4545454545455</v>
      </c>
      <c r="K22" s="35">
        <f ca="1">IF(H22=G22,50,0)</f>
        <v>0</v>
      </c>
      <c r="L22" s="35">
        <f ca="1">IF(G22-H22&gt;4,J22/G22*(G22-H22),0)</f>
        <v>0</v>
      </c>
      <c r="M22" s="35">
        <v>0</v>
      </c>
      <c r="N22" s="35">
        <f ca="1">IF(G22-H22&lt;=4,J22/G22*(G22-H22),0)</f>
        <v>42.520661157024797</v>
      </c>
      <c r="O22" s="35">
        <f ca="1">SUM(J22:N22)</f>
        <v>977.97520661157034</v>
      </c>
      <c r="P22" s="35">
        <f ca="1">MAX(0,IF(O22&lt;=730,460,IF(O22&lt;=1678,460-0.26*(O22-730),400-0.18*(O22-642))))</f>
        <v>395.52644628099171</v>
      </c>
      <c r="Q22" s="35">
        <f ca="1">PRODUCT(O22-P22,$G$1)</f>
        <v>116.48975206611573</v>
      </c>
      <c r="R22" s="35">
        <f ca="1">PRODUCT(O22-N22,$G$3)</f>
        <v>133.67645454545456</v>
      </c>
      <c r="S22" s="35">
        <f ca="1">PRODUCT(O22-N22,$G$4)</f>
        <v>65.294727272727272</v>
      </c>
      <c r="T22" s="35">
        <f ca="1">PRODUCT($G$6,O22)</f>
        <v>29.339256198347108</v>
      </c>
      <c r="U22" s="35">
        <f ca="1">SUM(P22:T22)</f>
        <v>740.32663636363645</v>
      </c>
      <c r="V22" s="35">
        <f ca="1">O22-U22</f>
        <v>237.64857024793389</v>
      </c>
      <c r="W22" s="35">
        <f ca="1">PRODUCT($G$5,O22)</f>
        <v>17.310161157024794</v>
      </c>
      <c r="X22" s="35">
        <f ca="1">Darbuotojai!F18</f>
        <v>200</v>
      </c>
      <c r="Y22" s="46">
        <f ca="1">V22-X22</f>
        <v>37.64857024793389</v>
      </c>
    </row>
    <row r="23" spans="1:25" x14ac:dyDescent="0.25">
      <c r="A23" s="45" t="s">
        <v>154</v>
      </c>
      <c r="B23" s="39" t="str">
        <f>"03"</f>
        <v>03</v>
      </c>
      <c r="C23" s="36">
        <f>DATE(2026,3,15)</f>
        <v>46096</v>
      </c>
      <c r="D23" s="1" t="str">
        <f>Darbuotojai!B19</f>
        <v>Darbuotojas14</v>
      </c>
      <c r="E23" s="23">
        <f>Darbuotojai!D19</f>
        <v>980</v>
      </c>
      <c r="F23" s="35">
        <f>Darbuotojai!E19</f>
        <v>5.5681818181818183</v>
      </c>
      <c r="G23" s="23">
        <f>NETWORKDAYS(2026-3-31,2026-3-1,2026-3-11)</f>
        <v>22</v>
      </c>
      <c r="H23" s="23">
        <f ca="1">RANDBETWEEN(15,G23)</f>
        <v>15</v>
      </c>
      <c r="I23" s="23">
        <f ca="1">PRODUCT(H23,8)</f>
        <v>120</v>
      </c>
      <c r="J23" s="35">
        <f ca="1">PRODUCT(F23,I23)</f>
        <v>668.18181818181824</v>
      </c>
      <c r="K23" s="35">
        <f ca="1">IF(H23=G23,50,0)</f>
        <v>0</v>
      </c>
      <c r="L23" s="35">
        <f ca="1">IF(G23-H23&gt;4,J23/G23*(G23-H23),0)</f>
        <v>212.60330578512398</v>
      </c>
      <c r="M23" s="35">
        <v>0</v>
      </c>
      <c r="N23" s="35">
        <f ca="1">IF(G23-H23&lt;=4,J23/G23*(G23-H23),0)</f>
        <v>0</v>
      </c>
      <c r="O23" s="35">
        <f ca="1">SUM(J23:N23)</f>
        <v>880.78512396694225</v>
      </c>
      <c r="P23" s="35">
        <f ca="1">MAX(0,IF(O23&lt;=730,460,IF(O23&lt;=1678,460-0.26*(O23-730),400-0.18*(O23-642))))</f>
        <v>420.79586776859503</v>
      </c>
      <c r="Q23" s="35">
        <f ca="1">PRODUCT(O23-P23,$G$1)</f>
        <v>91.997851239669444</v>
      </c>
      <c r="R23" s="35">
        <f ca="1">PRODUCT(O23-N23,$G$3)</f>
        <v>125.86419421487605</v>
      </c>
      <c r="S23" s="35">
        <f ca="1">PRODUCT(O23-N23,$G$4)</f>
        <v>61.478801652892571</v>
      </c>
      <c r="T23" s="35">
        <f ca="1">PRODUCT($G$6,O23)</f>
        <v>26.423553719008268</v>
      </c>
      <c r="U23" s="35">
        <f ca="1">SUM(P23:T23)</f>
        <v>726.56026859504141</v>
      </c>
      <c r="V23" s="35">
        <f ca="1">O23-U23</f>
        <v>154.22485537190084</v>
      </c>
      <c r="W23" s="35">
        <f ca="1">PRODUCT($G$5,O23)</f>
        <v>15.589896694214879</v>
      </c>
      <c r="X23" s="35">
        <f ca="1">Darbuotojai!F19</f>
        <v>150</v>
      </c>
      <c r="Y23" s="46">
        <f ca="1">V23-X23</f>
        <v>4.2248553719008441</v>
      </c>
    </row>
    <row r="24" spans="1:25" x14ac:dyDescent="0.25">
      <c r="A24" s="50" t="s">
        <v>154</v>
      </c>
      <c r="B24" s="51" t="str">
        <f>"03"</f>
        <v>03</v>
      </c>
      <c r="C24" s="52">
        <f>DATE(2026,3,15)</f>
        <v>46096</v>
      </c>
      <c r="D24" s="53" t="str">
        <f>Darbuotojai!B20</f>
        <v>Darbuotojas15</v>
      </c>
      <c r="E24" s="54">
        <f>Darbuotojai!D20</f>
        <v>980</v>
      </c>
      <c r="F24" s="55">
        <f>Darbuotojai!E20</f>
        <v>5.5681818181818183</v>
      </c>
      <c r="G24" s="54">
        <f>NETWORKDAYS(2026-3-31,2026-3-1,2026-3-11)</f>
        <v>22</v>
      </c>
      <c r="H24" s="54">
        <f ca="1">RANDBETWEEN(15,G24)</f>
        <v>15</v>
      </c>
      <c r="I24" s="54">
        <f ca="1">PRODUCT(H24,8)</f>
        <v>120</v>
      </c>
      <c r="J24" s="55">
        <f ca="1">PRODUCT(F24,I24)</f>
        <v>668.18181818181824</v>
      </c>
      <c r="K24" s="55">
        <f ca="1">IF(H24=G24,50,0)</f>
        <v>0</v>
      </c>
      <c r="L24" s="55">
        <f ca="1">IF(G24-H24&gt;4,J24/G24*(G24-H24),0)</f>
        <v>212.60330578512398</v>
      </c>
      <c r="M24" s="55">
        <v>0</v>
      </c>
      <c r="N24" s="55">
        <f ca="1">IF(G24-H24&lt;=4,J24/G24*(G24-H24),0)</f>
        <v>0</v>
      </c>
      <c r="O24" s="55">
        <f ca="1">SUM(J24:N24)</f>
        <v>880.78512396694225</v>
      </c>
      <c r="P24" s="55">
        <f ca="1">MAX(0,IF(O24&lt;=730,460,IF(O24&lt;=1678,460-0.26*(O24-730),400-0.18*(O24-642))))</f>
        <v>420.79586776859503</v>
      </c>
      <c r="Q24" s="55">
        <f ca="1">PRODUCT(O24-P24,$G$1)</f>
        <v>91.997851239669444</v>
      </c>
      <c r="R24" s="55">
        <f ca="1">PRODUCT(O24-N24,$G$3)</f>
        <v>125.86419421487605</v>
      </c>
      <c r="S24" s="55">
        <f ca="1">PRODUCT(O24-N24,$G$4)</f>
        <v>61.478801652892571</v>
      </c>
      <c r="T24" s="55">
        <f ca="1">PRODUCT($G$6,O24)</f>
        <v>26.423553719008268</v>
      </c>
      <c r="U24" s="55">
        <f ca="1">SUM(P24:T24)</f>
        <v>726.56026859504141</v>
      </c>
      <c r="V24" s="55">
        <f ca="1">O24-U24</f>
        <v>154.22485537190084</v>
      </c>
      <c r="W24" s="55">
        <f ca="1">PRODUCT($G$5,O24)</f>
        <v>15.589896694214879</v>
      </c>
      <c r="X24" s="55">
        <f ca="1">Darbuotojai!F20</f>
        <v>200</v>
      </c>
      <c r="Y24" s="56">
        <f ca="1">V24-X24</f>
        <v>-45.775144628099156</v>
      </c>
    </row>
  </sheetData>
  <sortState xmlns:xlrd2="http://schemas.microsoft.com/office/spreadsheetml/2017/richdata2" ref="D10:Y24">
    <sortCondition descending="1" ref="E10:E24"/>
  </sortState>
  <mergeCells count="4">
    <mergeCell ref="J1:K1"/>
    <mergeCell ref="J2:K2"/>
    <mergeCell ref="N1:Q1"/>
    <mergeCell ref="N2:Q2"/>
  </mergeCells>
  <phoneticPr fontId="13" type="noConversion"/>
  <conditionalFormatting sqref="V9:V24">
    <cfRule type="top10" dxfId="1" priority="1" bottom="1" rank="5"/>
  </conditionalFormatting>
  <conditionalFormatting sqref="V10:V24">
    <cfRule type="top10" dxfId="0" priority="2" bottom="1" rank="5"/>
    <cfRule type="top10" priority="3" bottom="1" rank="5"/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C8"/>
  <sheetViews>
    <sheetView tabSelected="1" workbookViewId="0">
      <selection activeCell="C9" sqref="C9"/>
    </sheetView>
  </sheetViews>
  <sheetFormatPr defaultRowHeight="15" x14ac:dyDescent="0.25"/>
  <cols>
    <col min="1" max="1" width="7.140625" customWidth="1"/>
    <col min="2" max="2" width="47.140625" customWidth="1"/>
    <col min="3" max="3" width="16.7109375" customWidth="1"/>
    <col min="4" max="4" width="13.7109375" customWidth="1"/>
    <col min="5" max="5" width="15.42578125" customWidth="1"/>
  </cols>
  <sheetData>
    <row r="3" spans="1:3" x14ac:dyDescent="0.25">
      <c r="A3" s="1">
        <v>1</v>
      </c>
      <c r="B3" s="1" t="s">
        <v>109</v>
      </c>
      <c r="C3" s="1">
        <f ca="1">COUNTIF(Lentelė1[Faktiškai dirbta, d.],"&gt;=18")</f>
        <v>6</v>
      </c>
    </row>
    <row r="4" spans="1:3" ht="30" x14ac:dyDescent="0.25">
      <c r="A4" s="1">
        <v>2</v>
      </c>
      <c r="B4" s="28" t="s">
        <v>120</v>
      </c>
      <c r="C4" s="33">
        <f ca="1">SUMIF(Lentelė1[Faktiškai dirbta, d.],"&lt;18",Lentelė1[Išmokėtina suma, €])</f>
        <v>2304.9827566115705</v>
      </c>
    </row>
    <row r="5" spans="1:3" x14ac:dyDescent="0.25">
      <c r="A5" s="1">
        <v>3</v>
      </c>
      <c r="B5" s="1" t="s">
        <v>107</v>
      </c>
      <c r="C5" s="33">
        <f ca="1">AVERAGE(Lentelė1[Avansas, €])</f>
        <v>176.66666666666666</v>
      </c>
    </row>
    <row r="6" spans="1:3" ht="30" x14ac:dyDescent="0.25">
      <c r="A6" s="1">
        <v>4</v>
      </c>
      <c r="B6" s="28" t="s">
        <v>119</v>
      </c>
      <c r="C6" s="33">
        <f ca="1">AVERAGEIF(Lentelė1[Valandinis tarifinis atlygis, €],"&lt;=8",Lentelė1[VSD įmoka, €])</f>
        <v>135.88957937640873</v>
      </c>
    </row>
    <row r="7" spans="1:3" x14ac:dyDescent="0.25">
      <c r="A7" s="1">
        <v>5</v>
      </c>
      <c r="B7" s="1" t="s">
        <v>108</v>
      </c>
      <c r="C7" s="33">
        <f ca="1">MEDIAN(Lentelė1[pritaikytas NPD, €])</f>
        <v>381.03842975206612</v>
      </c>
    </row>
    <row r="8" spans="1:3" x14ac:dyDescent="0.25">
      <c r="A8" s="1">
        <v>6</v>
      </c>
      <c r="B8" s="1" t="s">
        <v>110</v>
      </c>
      <c r="C8" s="33">
        <f ca="1">LARGE(Lentelė1[GPM, €],2)</f>
        <v>285.84000000000009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5</vt:i4>
      </vt:variant>
    </vt:vector>
  </HeadingPairs>
  <TitlesOfParts>
    <vt:vector size="5" baseType="lpstr">
      <vt:lpstr>Užduotis</vt:lpstr>
      <vt:lpstr>Pareigybės</vt:lpstr>
      <vt:lpstr>Darbuotojai</vt:lpstr>
      <vt:lpstr>Darbo užmokestis</vt:lpstr>
      <vt:lpstr>suvestinė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Mokinys_15</cp:lastModifiedBy>
  <dcterms:created xsi:type="dcterms:W3CDTF">2018-12-13T14:39:32Z</dcterms:created>
  <dcterms:modified xsi:type="dcterms:W3CDTF">2026-05-11T10:26:06Z</dcterms:modified>
</cp:coreProperties>
</file>