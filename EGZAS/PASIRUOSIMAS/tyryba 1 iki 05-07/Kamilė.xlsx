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1FDA73F3-A2F0-4DDE-B3A3-3E0F4E6C727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3" l="1"/>
  <c r="G11" i="3"/>
  <c r="H11" i="3" s="1"/>
  <c r="C3" i="6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G22" i="3"/>
  <c r="H22" i="3" s="1"/>
  <c r="G23" i="3"/>
  <c r="H23" i="3" s="1"/>
  <c r="G24" i="3"/>
  <c r="H24" i="3" s="1"/>
  <c r="G10" i="3"/>
  <c r="H10" i="3" s="1"/>
  <c r="L17" i="3" l="1"/>
  <c r="L16" i="3"/>
  <c r="L20" i="3"/>
  <c r="L14" i="3"/>
  <c r="L13" i="3"/>
  <c r="L12" i="3"/>
  <c r="L19" i="3"/>
  <c r="L23" i="3"/>
  <c r="L10" i="3"/>
  <c r="K15" i="3"/>
  <c r="K14" i="3"/>
  <c r="K17" i="3"/>
  <c r="K13" i="3"/>
  <c r="K12" i="3"/>
  <c r="K18" i="3"/>
  <c r="K11" i="3"/>
  <c r="K16" i="3"/>
  <c r="K23" i="3"/>
  <c r="K22" i="3"/>
  <c r="K21" i="3"/>
  <c r="K19" i="3"/>
  <c r="K24" i="3"/>
  <c r="K20" i="3"/>
  <c r="K10" i="3"/>
  <c r="D6" i="2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0" i="3"/>
  <c r="F7" i="2"/>
  <c r="F8" i="2"/>
  <c r="F9" i="2"/>
  <c r="F10" i="2"/>
  <c r="F11" i="2"/>
  <c r="X15" i="3" s="1"/>
  <c r="F12" i="2"/>
  <c r="X16" i="3" s="1"/>
  <c r="F13" i="2"/>
  <c r="X17" i="3" s="1"/>
  <c r="F14" i="2"/>
  <c r="X18" i="3" s="1"/>
  <c r="F15" i="2"/>
  <c r="X19" i="3" s="1"/>
  <c r="F16" i="2"/>
  <c r="X20" i="3" s="1"/>
  <c r="F17" i="2"/>
  <c r="X21" i="3" s="1"/>
  <c r="F18" i="2"/>
  <c r="X22" i="3" s="1"/>
  <c r="F19" i="2"/>
  <c r="X23" i="3" s="1"/>
  <c r="F20" i="2"/>
  <c r="F6" i="2"/>
  <c r="X10" i="3" s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X14" i="3" l="1"/>
  <c r="X13" i="3"/>
  <c r="X24" i="3"/>
  <c r="X12" i="3"/>
  <c r="X11" i="3"/>
  <c r="F17" i="3"/>
  <c r="E17" i="3"/>
  <c r="J17" i="3" s="1"/>
  <c r="E16" i="3"/>
  <c r="J16" i="3" s="1"/>
  <c r="F16" i="3"/>
  <c r="E15" i="3"/>
  <c r="J15" i="3" s="1"/>
  <c r="F15" i="3"/>
  <c r="E14" i="3"/>
  <c r="J14" i="3" s="1"/>
  <c r="F14" i="3"/>
  <c r="F13" i="3"/>
  <c r="E13" i="3"/>
  <c r="J13" i="3" s="1"/>
  <c r="E18" i="3"/>
  <c r="J18" i="3" s="1"/>
  <c r="F18" i="3"/>
  <c r="L18" i="3" s="1"/>
  <c r="E24" i="3"/>
  <c r="J24" i="3" s="1"/>
  <c r="F24" i="3"/>
  <c r="E12" i="3"/>
  <c r="J12" i="3" s="1"/>
  <c r="F12" i="3"/>
  <c r="F23" i="3"/>
  <c r="E23" i="3"/>
  <c r="J23" i="3" s="1"/>
  <c r="F11" i="3"/>
  <c r="L11" i="3" s="1"/>
  <c r="E11" i="3"/>
  <c r="J11" i="3" s="1"/>
  <c r="F22" i="3"/>
  <c r="E22" i="3"/>
  <c r="J22" i="3" s="1"/>
  <c r="E10" i="3"/>
  <c r="J10" i="3" s="1"/>
  <c r="F10" i="3"/>
  <c r="N10" i="3" s="1"/>
  <c r="F21" i="3"/>
  <c r="L21" i="3" s="1"/>
  <c r="E21" i="3"/>
  <c r="J21" i="3" s="1"/>
  <c r="F20" i="3"/>
  <c r="E20" i="3"/>
  <c r="J20" i="3" s="1"/>
  <c r="F19" i="3"/>
  <c r="E19" i="3"/>
  <c r="J19" i="3" s="1"/>
  <c r="X7" i="3" l="1"/>
  <c r="C5" i="6" s="1"/>
  <c r="L15" i="3"/>
  <c r="N15" i="3"/>
  <c r="L24" i="3"/>
  <c r="N24" i="3"/>
  <c r="L22" i="3"/>
  <c r="N22" i="3"/>
  <c r="O10" i="3"/>
  <c r="W10" i="3" s="1"/>
  <c r="N18" i="3"/>
  <c r="O18" i="3" s="1"/>
  <c r="W18" i="3" s="1"/>
  <c r="N13" i="3"/>
  <c r="O13" i="3" s="1"/>
  <c r="W13" i="3" s="1"/>
  <c r="N14" i="3"/>
  <c r="O14" i="3" s="1"/>
  <c r="W14" i="3" s="1"/>
  <c r="N11" i="3"/>
  <c r="O11" i="3" s="1"/>
  <c r="W11" i="3" s="1"/>
  <c r="N19" i="3"/>
  <c r="O19" i="3" s="1"/>
  <c r="W19" i="3" s="1"/>
  <c r="N23" i="3"/>
  <c r="O23" i="3" s="1"/>
  <c r="W23" i="3" s="1"/>
  <c r="N20" i="3"/>
  <c r="O20" i="3" s="1"/>
  <c r="W20" i="3" s="1"/>
  <c r="N12" i="3"/>
  <c r="O12" i="3" s="1"/>
  <c r="W12" i="3" s="1"/>
  <c r="N16" i="3"/>
  <c r="O16" i="3" s="1"/>
  <c r="W16" i="3" s="1"/>
  <c r="N21" i="3"/>
  <c r="O21" i="3" s="1"/>
  <c r="W21" i="3" s="1"/>
  <c r="N17" i="3"/>
  <c r="O17" i="3" s="1"/>
  <c r="W17" i="3" s="1"/>
  <c r="K7" i="3"/>
  <c r="O22" i="3" l="1"/>
  <c r="W22" i="3" s="1"/>
  <c r="O24" i="3"/>
  <c r="W24" i="3" s="1"/>
  <c r="O15" i="3"/>
  <c r="W15" i="3" s="1"/>
  <c r="L7" i="3"/>
  <c r="T12" i="3"/>
  <c r="T13" i="3"/>
  <c r="T24" i="3"/>
  <c r="T20" i="3"/>
  <c r="T14" i="3"/>
  <c r="T19" i="3"/>
  <c r="T18" i="3"/>
  <c r="T22" i="3"/>
  <c r="T23" i="3"/>
  <c r="T11" i="3"/>
  <c r="T17" i="3"/>
  <c r="T21" i="3"/>
  <c r="T16" i="3"/>
  <c r="T15" i="3"/>
  <c r="T10" i="3"/>
  <c r="R19" i="3"/>
  <c r="S19" i="3"/>
  <c r="R13" i="3"/>
  <c r="S13" i="3"/>
  <c r="R18" i="3"/>
  <c r="S18" i="3"/>
  <c r="R12" i="3"/>
  <c r="S12" i="3"/>
  <c r="R24" i="3"/>
  <c r="S24" i="3"/>
  <c r="R23" i="3"/>
  <c r="S23" i="3"/>
  <c r="R11" i="3"/>
  <c r="S11" i="3"/>
  <c r="R22" i="3"/>
  <c r="S22" i="3"/>
  <c r="R20" i="3"/>
  <c r="S20" i="3"/>
  <c r="R14" i="3"/>
  <c r="S14" i="3"/>
  <c r="R17" i="3"/>
  <c r="S17" i="3"/>
  <c r="R21" i="3"/>
  <c r="S21" i="3"/>
  <c r="R16" i="3"/>
  <c r="S16" i="3"/>
  <c r="R15" i="3"/>
  <c r="S15" i="3"/>
  <c r="R10" i="3"/>
  <c r="S10" i="3"/>
  <c r="P12" i="3"/>
  <c r="P18" i="3"/>
  <c r="P11" i="3"/>
  <c r="P24" i="3"/>
  <c r="P23" i="3"/>
  <c r="P20" i="3"/>
  <c r="P13" i="3"/>
  <c r="P22" i="3"/>
  <c r="P19" i="3"/>
  <c r="P14" i="3"/>
  <c r="P17" i="3"/>
  <c r="P21" i="3"/>
  <c r="P16" i="3"/>
  <c r="P15" i="3"/>
  <c r="P10" i="3"/>
  <c r="N7" i="3"/>
  <c r="M7" i="3"/>
  <c r="J7" i="3"/>
  <c r="C6" i="6" l="1"/>
  <c r="S1" i="3"/>
  <c r="S2" i="3"/>
  <c r="Q23" i="3"/>
  <c r="U23" i="3" s="1"/>
  <c r="V23" i="3" s="1"/>
  <c r="Y23" i="3" s="1"/>
  <c r="Q11" i="3"/>
  <c r="U11" i="3" s="1"/>
  <c r="V11" i="3" s="1"/>
  <c r="Y11" i="3" s="1"/>
  <c r="Q15" i="3"/>
  <c r="U15" i="3" s="1"/>
  <c r="V15" i="3" s="1"/>
  <c r="Y15" i="3" s="1"/>
  <c r="Q16" i="3"/>
  <c r="U16" i="3" s="1"/>
  <c r="V16" i="3" s="1"/>
  <c r="Y16" i="3" s="1"/>
  <c r="Q20" i="3"/>
  <c r="U20" i="3" s="1"/>
  <c r="V20" i="3" s="1"/>
  <c r="Y20" i="3" s="1"/>
  <c r="Q17" i="3"/>
  <c r="U17" i="3" s="1"/>
  <c r="V17" i="3" s="1"/>
  <c r="Y17" i="3" s="1"/>
  <c r="Q18" i="3"/>
  <c r="U18" i="3" s="1"/>
  <c r="V18" i="3" s="1"/>
  <c r="Y18" i="3" s="1"/>
  <c r="Q21" i="3"/>
  <c r="U21" i="3" s="1"/>
  <c r="V21" i="3" s="1"/>
  <c r="Y21" i="3" s="1"/>
  <c r="Q19" i="3"/>
  <c r="U19" i="3" s="1"/>
  <c r="V19" i="3" s="1"/>
  <c r="Y19" i="3" s="1"/>
  <c r="Q22" i="3"/>
  <c r="U22" i="3" s="1"/>
  <c r="V22" i="3" s="1"/>
  <c r="Y22" i="3" s="1"/>
  <c r="Q24" i="3"/>
  <c r="U24" i="3" s="1"/>
  <c r="V24" i="3" s="1"/>
  <c r="Y24" i="3" s="1"/>
  <c r="Q12" i="3"/>
  <c r="U12" i="3" s="1"/>
  <c r="V12" i="3" s="1"/>
  <c r="Y12" i="3" s="1"/>
  <c r="Q14" i="3"/>
  <c r="U14" i="3" s="1"/>
  <c r="V14" i="3" s="1"/>
  <c r="Y14" i="3" s="1"/>
  <c r="Q13" i="3"/>
  <c r="U13" i="3" s="1"/>
  <c r="V13" i="3" s="1"/>
  <c r="Y13" i="3" s="1"/>
  <c r="Q10" i="3"/>
  <c r="U10" i="3" s="1"/>
  <c r="V10" i="3" s="1"/>
  <c r="T7" i="3"/>
  <c r="R7" i="3"/>
  <c r="O7" i="3"/>
  <c r="L2" i="3" s="1"/>
  <c r="S7" i="3"/>
  <c r="W7" i="3"/>
  <c r="Y10" i="3" l="1"/>
  <c r="C4" i="6"/>
  <c r="P7" i="3"/>
  <c r="C7" i="6" s="1"/>
  <c r="Q7" i="3"/>
  <c r="C8" i="6" s="1"/>
  <c r="U7" i="3" l="1"/>
  <c r="Y7" i="3"/>
  <c r="V7" i="3"/>
</calcChain>
</file>

<file path=xl/sharedStrings.xml><?xml version="1.0" encoding="utf-8"?>
<sst xmlns="http://schemas.openxmlformats.org/spreadsheetml/2006/main" count="255" uniqueCount="187">
  <si>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</si>
  <si>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</si>
  <si>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</si>
  <si>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</si>
  <si>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</si>
  <si>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</si>
  <si>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</si>
  <si>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</si>
  <si>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</si>
  <si>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</si>
  <si>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</si>
  <si>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</si>
  <si>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</si>
  <si>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</si>
  <si>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</si>
  <si>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</si>
  <si>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</si>
  <si>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</si>
  <si>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</si>
  <si>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</si>
  <si>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</si>
  <si>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</si>
  <si>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</si>
  <si>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</si>
  <si>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</si>
  <si>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</si>
  <si>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</si>
  <si>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</si>
  <si>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</si>
  <si>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</si>
  <si>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</si>
  <si>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</si>
  <si>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</si>
  <si>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</si>
  <si>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</si>
  <si>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</si>
  <si>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</si>
  <si>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</si>
  <si>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</si>
  <si>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</si>
  <si>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</si>
  <si>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</si>
  <si>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</si>
  <si>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</si>
  <si>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</si>
  <si>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</si>
  <si>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</si>
  <si>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</si>
  <si>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</si>
  <si>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</si>
  <si>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</si>
  <si>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</si>
  <si>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</si>
  <si>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</si>
  <si>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</si>
  <si>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</si>
  <si>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</si>
  <si>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</si>
  <si>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</si>
  <si>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</si>
  <si>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</si>
  <si>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</si>
  <si>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</si>
  <si>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</si>
  <si>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</si>
  <si>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</si>
  <si>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</si>
  <si>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</si>
  <si>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</si>
  <si>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</si>
  <si>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</si>
  <si>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</si>
  <si>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</si>
  <si>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</si>
  <si>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</si>
  <si>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</si>
  <si>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</si>
  <si>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</si>
  <si>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</si>
  <si>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</si>
  <si>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</si>
  <si>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</si>
  <si>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</si>
  <si>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</si>
  <si>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</si>
  <si>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</si>
  <si>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</si>
  <si>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</si>
  <si>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</si>
  <si>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</si>
  <si>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</si>
  <si>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</si>
  <si>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</si>
  <si>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</si>
  <si>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</si>
  <si>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</si>
  <si>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</si>
  <si>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</si>
  <si>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</si>
  <si>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</si>
  <si>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</si>
  <si>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</si>
  <si>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</si>
  <si>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</si>
  <si>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</si>
  <si>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</si>
  <si>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</si>
  <si>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</si>
  <si>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</si>
  <si>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</si>
  <si>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</si>
  <si>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</si>
  <si>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</si>
  <si>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</si>
  <si>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</si>
  <si>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</si>
  <si>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</si>
  <si>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</si>
  <si>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</si>
  <si>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</si>
  <si>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</si>
  <si>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</si>
  <si>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</si>
  <si>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</si>
  <si>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</si>
  <si>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</si>
  <si>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</si>
  <si>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</si>
  <si>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</si>
  <si>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</si>
  <si>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</si>
  <si>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</si>
  <si>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</si>
  <si>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</si>
  <si>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</si>
  <si>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</si>
  <si>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</si>
  <si>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</si>
  <si>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</si>
  <si>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</si>
  <si>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</si>
  <si>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</si>
  <si>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</si>
  <si>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</si>
  <si>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</si>
  <si>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</si>
  <si>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</si>
  <si>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</si>
  <si>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</si>
  <si>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</si>
  <si>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</si>
  <si>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</si>
  <si>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</si>
  <si>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</si>
  <si>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</si>
  <si>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</si>
  <si>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</si>
  <si>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</si>
  <si>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</si>
  <si>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</si>
  <si>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</si>
  <si>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</si>
  <si>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</si>
  <si>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</si>
  <si>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</si>
  <si>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</si>
  <si>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</si>
  <si>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</si>
  <si>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</si>
  <si>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</si>
  <si>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</si>
  <si>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</si>
  <si>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</si>
  <si>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</si>
  <si>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</si>
  <si>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</si>
  <si>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</si>
  <si>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</si>
  <si>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</si>
  <si>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</si>
  <si>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</si>
  <si>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</si>
  <si>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</si>
  <si>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</si>
  <si>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</si>
  <si>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Tarkim, kad per dieną dirba 8 val.</t>
  </si>
  <si>
    <t>Kovas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</si>
</sst>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9" fillId="0" borderId="1" xfId="2" applyNumberFormat="1" applyFont="1" applyBorder="1"/>
    <xf numFmtId="2" fontId="8" fillId="0" borderId="1" xfId="0" applyNumberFormat="1" applyFont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44" fontId="8" fillId="0" borderId="1" xfId="0" applyNumberFormat="1" applyFont="1" applyBorder="1"/>
    <xf numFmtId="2" fontId="8" fillId="0" borderId="1" xfId="0" applyNumberFormat="1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0" fillId="0" borderId="0" xfId="0" applyNumberFormat="1"/>
    <xf numFmtId="0" fontId="8" fillId="0" borderId="4" xfId="0" applyFont="1" applyBorder="1"/>
    <xf numFmtId="2" fontId="8" fillId="0" borderId="5" xfId="0" applyNumberFormat="1" applyFont="1" applyBorder="1"/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/>
    <xf numFmtId="1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8" fillId="0" borderId="2" xfId="0" applyNumberFormat="1" applyFont="1" applyBorder="1"/>
    <xf numFmtId="44" fontId="8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/>
    <xf numFmtId="2" fontId="8" fillId="0" borderId="10" xfId="0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1" fontId="0" fillId="0" borderId="1" xfId="0" applyNumberFormat="1" applyBorder="1" applyAlignment="1">
      <alignment horizontal="center" vertical="center"/>
    </xf>
  </cellXfs>
  <cellStyles count="3">
    <cellStyle name="Įprastas" xfId="0" builtinId="0"/>
    <cellStyle name="Procentai" xfId="2" builtinId="5"/>
    <cellStyle name="Valiuta" xfId="1" builtinId="4"/>
  </cellStyles>
  <dxfs count="32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4B2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'Darbo užmokestis'!$V$9</c:f>
              <c:strCache>
                <c:ptCount val="1"/>
                <c:pt idx="0">
                  <c:v>Išmokėtina suma, €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'Darbo užmokestis'!$D$10:$D$24</c:f>
              <c:strCache>
                <c:ptCount val="15"/>
                <c:pt idx="0">
                  <c:v>Darbuotojas1</c:v>
                </c:pt>
                <c:pt idx="1">
                  <c:v>Darbuotojas2</c:v>
                </c:pt>
                <c:pt idx="2">
                  <c:v>Darbuotojas3</c:v>
                </c:pt>
                <c:pt idx="3">
                  <c:v>Darbuotojas4</c:v>
                </c:pt>
                <c:pt idx="4">
                  <c:v>Darbuotojas5</c:v>
                </c:pt>
                <c:pt idx="5">
                  <c:v>Darbuotojas6</c:v>
                </c:pt>
                <c:pt idx="6">
                  <c:v>Darbuotojas7</c:v>
                </c:pt>
                <c:pt idx="7">
                  <c:v>Darbuotojas8</c:v>
                </c:pt>
                <c:pt idx="8">
                  <c:v>Darbuotojas9</c:v>
                </c:pt>
                <c:pt idx="9">
                  <c:v>Darbuotojas10</c:v>
                </c:pt>
                <c:pt idx="10">
                  <c:v>Darbuotojas11</c:v>
                </c:pt>
                <c:pt idx="11">
                  <c:v>Darbuotojas12</c:v>
                </c:pt>
                <c:pt idx="12">
                  <c:v>Darbuotojas13</c:v>
                </c:pt>
                <c:pt idx="13">
                  <c:v>Darbuotojas14</c:v>
                </c:pt>
                <c:pt idx="14">
                  <c:v>Darbuotojas15</c:v>
                </c:pt>
              </c:strCache>
            </c:strRef>
          </c:cat>
          <c:val>
            <c:numRef>
              <c:f>'Darbo užmokestis'!$V$10:$V$24</c:f>
              <c:numCache>
                <c:formatCode>0.00</c:formatCode>
                <c:ptCount val="15"/>
                <c:pt idx="0">
                  <c:v>1659.0678787878787</c:v>
                </c:pt>
                <c:pt idx="1">
                  <c:v>887.95428571428579</c:v>
                </c:pt>
                <c:pt idx="2">
                  <c:v>919.75688311688327</c:v>
                </c:pt>
                <c:pt idx="3">
                  <c:v>836.11140909090909</c:v>
                </c:pt>
                <c:pt idx="4">
                  <c:v>573.18074285714295</c:v>
                </c:pt>
                <c:pt idx="5">
                  <c:v>608.46092857142867</c:v>
                </c:pt>
                <c:pt idx="6">
                  <c:v>487.61885714285711</c:v>
                </c:pt>
                <c:pt idx="7">
                  <c:v>538.64199999999994</c:v>
                </c:pt>
                <c:pt idx="8">
                  <c:v>416.07254545454543</c:v>
                </c:pt>
                <c:pt idx="9">
                  <c:v>416.07254545454543</c:v>
                </c:pt>
                <c:pt idx="10">
                  <c:v>420.75109090909098</c:v>
                </c:pt>
                <c:pt idx="11">
                  <c:v>416.07254545454543</c:v>
                </c:pt>
                <c:pt idx="12">
                  <c:v>401.27199999999993</c:v>
                </c:pt>
                <c:pt idx="13">
                  <c:v>402.95899999999995</c:v>
                </c:pt>
                <c:pt idx="14">
                  <c:v>451.15899999999999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C-4B06-B20D-9FB43F0B4B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7079263"/>
        <c:axId val="227086943"/>
      </c:barChart>
      <c:catAx>
        <c:axId val="22707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>
                    <a:solidFill>
                      <a:sysClr val="windowText" lastClr="000000"/>
                    </a:solidFill>
                  </a:rPr>
                  <a:t>Darbuotojai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227086943"/>
        <c:crosses val="autoZero"/>
        <c:auto val="1"/>
        <c:lblAlgn val="ctr"/>
        <c:lblOffset val="100"/>
        <c:noMultiLvlLbl val="0"/>
      </c:catAx>
      <c:valAx>
        <c:axId val="2270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 sz="1000" b="0" i="0" u="none" strike="noStrike" kern="1200" spc="0" baseline="0">
                    <a:solidFill>
                      <a:sysClr val="windowText" lastClr="000000"/>
                    </a:solidFill>
                  </a:rPr>
                  <a:t>Išmokėtina suma,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22707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'Darbo užmokestis'!$D$10</c:f>
              <c:strCache>
                <c:ptCount val="1"/>
                <c:pt idx="0">
                  <c:v>Darbuotojas1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B8-4066-9EBE-DCB3C720201F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FE-435B-A92F-2642D3BF56DF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FE-435B-A92F-2642D3BF56DF}"/>
              </c:ext>
            </c:extLst>
          </c:dPt>
          <c:dPt>
            <c:idx val="3"/>
            <c:bubble3D val="0"/>
            <c:spPr>
              <a:solidFill>
                <a:srgbClr val="E4B2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AFE-435B-A92F-2642D3BF56DF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FE-435B-A92F-2642D3BF56DF}"/>
              </c:ext>
            </c:extLst>
          </c:dPt>
          <c:cat>
            <c:strRef>
              <c:f>('Darbo užmokestis'!$P$9:$S$9,'Darbo užmokestis'!$V$9)</c:f>
              <c:strCache>
                <c:ptCount val="5"/>
                <c:pt idx="0">
                  <c:v>pritaikytas NPD, €</c:v>
                </c:pt>
                <c:pt idx="1">
                  <c:v>GPM, €</c:v>
                </c:pt>
                <c:pt idx="2">
                  <c:v>VSD įmoka, €</c:v>
                </c:pt>
                <c:pt idx="3">
                  <c:v>PSD įmoka,  €</c:v>
                </c:pt>
                <c:pt idx="4">
                  <c:v>Išmokėtina suma, €</c:v>
                </c:pt>
              </c:strCache>
            </c:strRef>
          </c:cat>
          <c:val>
            <c:numRef>
              <c:f>('Darbo užmokestis'!$P$10:$S$10,'Darbo užmokestis'!$V$10)</c:f>
              <c:numCache>
                <c:formatCode>0.00</c:formatCode>
                <c:ptCount val="5"/>
                <c:pt idx="0">
                  <c:v>0</c:v>
                </c:pt>
                <c:pt idx="1">
                  <c:v>558.78787878787887</c:v>
                </c:pt>
                <c:pt idx="2">
                  <c:v>381.06666666666666</c:v>
                </c:pt>
                <c:pt idx="3">
                  <c:v>195.01696969696971</c:v>
                </c:pt>
                <c:pt idx="4">
                  <c:v>1659.0678787878787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E-435B-A92F-2642D3BF5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1574424</xdr:colOff>
      <xdr:row>24</xdr:row>
      <xdr:rowOff>180414</xdr:rowOff>
    </xdr:from>
    <xdr:to>
      <xdr:col>5</xdr:col>
      <xdr:colOff>644336</xdr:colOff>
      <xdr:row>39</xdr:row>
      <xdr:rowOff>66114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F019D664-4F51-FDD2-E929-C333601D5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218515</xdr:colOff>
      <xdr:row>24</xdr:row>
      <xdr:rowOff>180414</xdr:rowOff>
    </xdr:from>
    <xdr:to>
      <xdr:col>9</xdr:col>
      <xdr:colOff>773206</xdr:colOff>
      <xdr:row>39</xdr:row>
      <xdr:rowOff>112060</xdr:rowOff>
    </xdr:to>
    <xdr:graphicFrame macro="">
      <xdr:nvGraphicFramePr>
        <xdr:cNvPr id="7" name="Diagrama 6">
          <a:extLst>
            <a:ext uri="{FF2B5EF4-FFF2-40B4-BE49-F238E27FC236}">
              <a16:creationId xmlns:a16="http://schemas.microsoft.com/office/drawing/2014/main" id="{BB9F0307-3402-FB2D-FBCB-7E6C80CE3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A6605E-E2F0-48BA-9648-943C6CDBF330}" name="Lentelė5" displayName="Lentelė5" ref="A9:Y24" totalsRowShown="0" headerRowDxfId="31" dataDxfId="29" headerRowBorderDxfId="30" tableBorderDxfId="28" totalsRowBorderDxfId="27">
  <autoFilter ref="A9:Y24" xr:uid="{49A6605E-E2F0-48BA-9648-943C6CDBF330}"/>
  <tableColumns count="25">
    <tableColumn id="1" xr3:uid="{598183E2-85B5-4567-A7AC-3C53F1EBA0BE}" name="Registras" dataDxfId="26"/>
    <tableColumn id="2" xr3:uid="{62897DA3-4A17-437D-98E2-4A3A12BDE029}" name="Op. Nr." dataDxfId="25">
      <calculatedColumnFormula>"03"</calculatedColumnFormula>
    </tableColumn>
    <tableColumn id="3" xr3:uid="{1C3B771E-CBEE-4A7D-9135-9FD9709FBD60}" name="Skaičiavimo data" dataDxfId="24">
      <calculatedColumnFormula>EOMONTH(DATE(2022,3,1),0)</calculatedColumnFormula>
    </tableColumn>
    <tableColumn id="4" xr3:uid="{AABC9CB0-BD5B-496B-973C-D0D7115AF228}" name="Pavardė, vardas" dataDxfId="23">
      <calculatedColumnFormula>Darbuotojai!B6</calculatedColumnFormula>
    </tableColumn>
    <tableColumn id="5" xr3:uid="{246F2F6D-4795-49C8-B5DF-15DC0AB8E299}" name="Pareiginis atlyginimas, €" dataDxfId="22">
      <calculatedColumnFormula>VLOOKUP(D10,Darbuotojai!$B$6:$D$20,3,FALSE)</calculatedColumnFormula>
    </tableColumn>
    <tableColumn id="6" xr3:uid="{78C4A555-612A-43CE-98F3-740141661055}" name="Valandinis tarifinis atlygis, €" dataDxfId="21" dataCellStyle="Valiuta">
      <calculatedColumnFormula>VLOOKUP(D10,Darbuotojai!$B$6:$E$20,4,FALSE)</calculatedColumnFormula>
    </tableColumn>
    <tableColumn id="7" xr3:uid="{276742A9-CE3A-45A7-8F11-57701EA57936}" name="Nustatytas darbo dienų skaičius " dataDxfId="20">
      <calculatedColumnFormula>NETWORKDAYS(DATE(2026,3,1),DATE(2026,3,31),DATE(2026,3,11))</calculatedColumnFormula>
    </tableColumn>
    <tableColumn id="8" xr3:uid="{24FAD8B3-BBB9-46D7-9C63-4DEAF3308877}" name="Faktiškai dirbta, d." dataDxfId="19">
      <calculatedColumnFormula>RANDBETWEEN(15,G10)</calculatedColumnFormula>
    </tableColumn>
    <tableColumn id="9" xr3:uid="{E5D41C38-0263-4CDC-B92A-4263EB15380F}" name="Faktiškai dirbta, val." dataDxfId="18"/>
    <tableColumn id="10" xr3:uid="{CF6B3BFD-C067-4B9E-BD1F-C00701886C7C}" name="Atlyginimas, €" dataDxfId="17">
      <calculatedColumnFormula>E10*'Darbo užmokestis'!H10/'Darbo užmokestis'!G10</calculatedColumnFormula>
    </tableColumn>
    <tableColumn id="11" xr3:uid="{36775053-0B95-4FAF-8028-162FB7886976}" name="Mėnesinė priemoka, €" dataDxfId="16">
      <calculatedColumnFormula>IF(G10=H10,50,0)</calculatedColumnFormula>
    </tableColumn>
    <tableColumn id="12" xr3:uid="{75E1E663-C6DF-4AB3-98D0-70E7FFABC3CD}" name="Eilinės atostogos,  €" dataDxfId="15">
      <calculatedColumnFormula>IF(G10-H10&gt;4,F10*I10*(G10-H10),0)</calculatedColumnFormula>
    </tableColumn>
    <tableColumn id="13" xr3:uid="{E5271B5C-B5C6-4138-B9FA-E14E8DDF88AA}" name="Kompensacija už nepanaudotas atostogas,  €" dataDxfId="14"/>
    <tableColumn id="14" xr3:uid="{615DB66D-6BFA-431D-8F17-EBB59B994922}" name="Nedarbingumo pašalpa darbdavio lėšomis,  €" dataDxfId="13">
      <calculatedColumnFormula>IF(G10-H10&lt;=4,F10*I10*(G10-H10),0)</calculatedColumnFormula>
    </tableColumn>
    <tableColumn id="15" xr3:uid="{B74FBEFC-94D2-4F12-B736-146BF9AF3D11}" name="Priskaičiuota iš viso,  €" dataDxfId="12">
      <calculatedColumnFormula>SUM(J10:N10)</calculatedColumnFormula>
    </tableColumn>
    <tableColumn id="16" xr3:uid="{51DBAE38-963B-4057-8580-39177C9B169A}" name="pritaikytas NPD, €" dataDxfId="11">
      <calculatedColumnFormula>IF(IF(O10&lt;=730,460,IF(O10&lt;1678,460-0.26*O10,IF(O10&gt;1678,460-0.18*O10)))&gt;0,IF(O10&lt;=730,460,IF(O10&lt;1678,460-0.26*O10,IF(O10&gt;1678,460-0.18*O10))),0)</calculatedColumnFormula>
    </tableColumn>
    <tableColumn id="17" xr3:uid="{CCAC8C41-170B-43F7-B23B-E074AD0B43D5}" name="GPM, €" dataDxfId="10">
      <calculatedColumnFormula>(O10-P10)*20%</calculatedColumnFormula>
    </tableColumn>
    <tableColumn id="18" xr3:uid="{6048A007-684F-48CD-B4EE-7B6B13E32472}" name="VSD įmoka, €" dataDxfId="9">
      <calculatedColumnFormula>(O10-N10)*14.29%</calculatedColumnFormula>
    </tableColumn>
    <tableColumn id="19" xr3:uid="{8799BE9F-F7A9-426B-BA11-44D0B68CC00B}" name="PSD įmoka,  €" dataDxfId="8">
      <calculatedColumnFormula>O10*6.98%</calculatedColumnFormula>
    </tableColumn>
    <tableColumn id="20" xr3:uid="{E22BA7C4-FD8D-4A04-A9BE-F38DFB56A258}" name="Papildomas pensijinis kaupimas " dataDxfId="7">
      <calculatedColumnFormula>O10*3%</calculatedColumnFormula>
    </tableColumn>
    <tableColumn id="21" xr3:uid="{D4D0060F-5D6B-4184-8E19-F138CEF1DEC4}" name="Išskaičiuota iš viso, €" dataDxfId="6">
      <calculatedColumnFormula>SUM(P10:S10)</calculatedColumnFormula>
    </tableColumn>
    <tableColumn id="22" xr3:uid="{588C002C-FA63-42BB-A7FD-A42F305EF5B9}" name="Išmokėtina suma, €" dataDxfId="5">
      <calculatedColumnFormula>O10-U10</calculatedColumnFormula>
    </tableColumn>
    <tableColumn id="23" xr3:uid="{113C72B2-EABD-402C-B254-C2FAB22D227E}" name="Darbdavio VSD įmokos, €" dataDxfId="4">
      <calculatedColumnFormula>O10*1.77%</calculatedColumnFormula>
    </tableColumn>
    <tableColumn id="24" xr3:uid="{2C3A6309-2FB0-4B7C-9805-DBBC8B5A9346}" name="Avansas, €" dataDxfId="3">
      <calculatedColumnFormula>VLOOKUP(D10,Darbuotojai!B6:F20,5,FALSE)</calculatedColumnFormula>
    </tableColumn>
    <tableColumn id="25" xr3:uid="{1B8AEA60-A12A-41CA-8E1C-E9F32AC3EA2B}" name="Išmokėtina suma po avanso, €" dataDxfId="2">
      <calculatedColumnFormula>V10+X10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27" workbookViewId="0">
      <selection activeCell="J23" sqref="J23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29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0" t="s">
        <v>128</v>
      </c>
      <c r="H35" t="s">
        <v>129</v>
      </c>
      <c r="M35" s="31"/>
    </row>
    <row r="36" spans="1:18" ht="17.25" customHeight="1" x14ac:dyDescent="0.25">
      <c r="A36">
        <v>19</v>
      </c>
      <c r="B36" s="8" t="s">
        <v>95</v>
      </c>
      <c r="C36" t="s">
        <v>124</v>
      </c>
      <c r="G36" s="30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0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0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60" t="s">
        <v>80</v>
      </c>
      <c r="C47" s="60"/>
    </row>
    <row r="48" spans="1:18" ht="15" customHeight="1" x14ac:dyDescent="0.25">
      <c r="A48">
        <v>29</v>
      </c>
      <c r="B48" s="61" t="s">
        <v>125</v>
      </c>
      <c r="C48" s="61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4" sqref="C4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C13" sqref="C13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2" spans="1:13" ht="15" customHeight="1" x14ac:dyDescent="0.25">
      <c r="E2" s="62" t="s">
        <v>185</v>
      </c>
    </row>
    <row r="3" spans="1:13" x14ac:dyDescent="0.25">
      <c r="E3" s="62"/>
    </row>
    <row r="4" spans="1:13" x14ac:dyDescent="0.25">
      <c r="E4" s="63"/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35" t="s">
        <v>155</v>
      </c>
      <c r="B6" s="35" t="s">
        <v>170</v>
      </c>
      <c r="C6" s="10" t="str">
        <f>Pareigybės!B4</f>
        <v>Vadovas</v>
      </c>
      <c r="D6" s="37">
        <f>VLOOKUP(C6,Pareigybės!$B$4:$C$9,2,FALSE)</f>
        <v>2800</v>
      </c>
      <c r="E6" s="37">
        <f>D6/(22*8)</f>
        <v>15.909090909090908</v>
      </c>
      <c r="F6" s="36">
        <f ca="1">CHOOSE(RANDBETWEEN(1,2),150,200)</f>
        <v>150</v>
      </c>
      <c r="G6" s="10" t="s">
        <v>49</v>
      </c>
      <c r="H6" s="35" t="str">
        <f ca="1">CONCATENATE("+",3706,RANDBETWEEN(1000000,9999999))</f>
        <v>+37063484021</v>
      </c>
      <c r="I6" s="35" t="s">
        <v>139</v>
      </c>
    </row>
    <row r="7" spans="1:13" x14ac:dyDescent="0.25">
      <c r="A7" s="35" t="s">
        <v>156</v>
      </c>
      <c r="B7" s="35" t="s">
        <v>171</v>
      </c>
      <c r="C7" s="10" t="str">
        <f>Pareigybės!B5</f>
        <v>Buhalterė</v>
      </c>
      <c r="D7" s="37">
        <f>VLOOKUP(C7,Pareigybės!$B$4:$C$9,2,FALSE)</f>
        <v>1600</v>
      </c>
      <c r="E7" s="37">
        <f t="shared" ref="E7:E20" si="0">D7/(22*8)</f>
        <v>9.0909090909090917</v>
      </c>
      <c r="F7" s="36">
        <f t="shared" ref="F7:F20" ca="1" si="1">CHOOSE(RANDBETWEEN(1,2),150,200)</f>
        <v>200</v>
      </c>
      <c r="G7" s="10" t="s">
        <v>49</v>
      </c>
      <c r="H7" s="35" t="str">
        <f t="shared" ref="H7:H20" ca="1" si="2">CONCATENATE("+",3706,RANDBETWEEN(1000000,9999999))</f>
        <v>+37068740130</v>
      </c>
      <c r="I7" s="35" t="s">
        <v>140</v>
      </c>
    </row>
    <row r="8" spans="1:13" x14ac:dyDescent="0.25">
      <c r="A8" s="35" t="s">
        <v>157</v>
      </c>
      <c r="B8" s="35" t="s">
        <v>172</v>
      </c>
      <c r="C8" s="10" t="str">
        <f>Pareigybės!B5</f>
        <v>Buhalterė</v>
      </c>
      <c r="D8" s="37">
        <f>VLOOKUP(C8,Pareigybės!$B$4:$C$9,2,FALSE)</f>
        <v>1600</v>
      </c>
      <c r="E8" s="37">
        <f t="shared" si="0"/>
        <v>9.0909090909090917</v>
      </c>
      <c r="F8" s="36">
        <f t="shared" ca="1" si="1"/>
        <v>150</v>
      </c>
      <c r="G8" s="10" t="s">
        <v>49</v>
      </c>
      <c r="H8" s="35" t="str">
        <f t="shared" ca="1" si="2"/>
        <v>+37064256368</v>
      </c>
      <c r="I8" s="35" t="s">
        <v>141</v>
      </c>
    </row>
    <row r="9" spans="1:13" x14ac:dyDescent="0.25">
      <c r="A9" s="35" t="s">
        <v>158</v>
      </c>
      <c r="B9" s="35" t="s">
        <v>173</v>
      </c>
      <c r="C9" s="10" t="str">
        <f>Pareigybės!B6</f>
        <v>Administratorė</v>
      </c>
      <c r="D9" s="37">
        <f>VLOOKUP(C9,Pareigybės!$B$4:$C$9,2,FALSE)</f>
        <v>1505</v>
      </c>
      <c r="E9" s="37">
        <f t="shared" si="0"/>
        <v>8.5511363636363633</v>
      </c>
      <c r="F9" s="36">
        <f t="shared" ca="1" si="1"/>
        <v>150</v>
      </c>
      <c r="G9" s="10" t="s">
        <v>49</v>
      </c>
      <c r="H9" s="35" t="str">
        <f t="shared" ca="1" si="2"/>
        <v>+37063316052</v>
      </c>
      <c r="I9" s="35" t="s">
        <v>142</v>
      </c>
    </row>
    <row r="10" spans="1:13" x14ac:dyDescent="0.25">
      <c r="A10" s="35" t="s">
        <v>159</v>
      </c>
      <c r="B10" s="35" t="s">
        <v>174</v>
      </c>
      <c r="C10" s="10" t="str">
        <f>Pareigybės!B7</f>
        <v>Vadybininkas</v>
      </c>
      <c r="D10" s="37">
        <f>VLOOKUP(C10,Pareigybės!$B$4:$C$9,2,FALSE)</f>
        <v>1199</v>
      </c>
      <c r="E10" s="37">
        <f t="shared" si="0"/>
        <v>6.8125</v>
      </c>
      <c r="F10" s="36">
        <f t="shared" ca="1" si="1"/>
        <v>200</v>
      </c>
      <c r="G10" s="10" t="s">
        <v>49</v>
      </c>
      <c r="H10" s="35" t="str">
        <f t="shared" ca="1" si="2"/>
        <v>+37062538299</v>
      </c>
      <c r="I10" s="35" t="s">
        <v>143</v>
      </c>
      <c r="M10" s="32"/>
    </row>
    <row r="11" spans="1:13" x14ac:dyDescent="0.25">
      <c r="A11" s="35" t="s">
        <v>160</v>
      </c>
      <c r="B11" s="35" t="s">
        <v>175</v>
      </c>
      <c r="C11" s="10" t="str">
        <f>Pareigybės!B7</f>
        <v>Vadybininkas</v>
      </c>
      <c r="D11" s="37">
        <f>VLOOKUP(C11,Pareigybės!$B$4:$C$9,2,FALSE)</f>
        <v>1199</v>
      </c>
      <c r="E11" s="37">
        <f t="shared" si="0"/>
        <v>6.8125</v>
      </c>
      <c r="F11" s="36">
        <f t="shared" ca="1" si="1"/>
        <v>150</v>
      </c>
      <c r="G11" s="10" t="s">
        <v>49</v>
      </c>
      <c r="H11" s="35" t="str">
        <f t="shared" ca="1" si="2"/>
        <v>+37067910065</v>
      </c>
      <c r="I11" s="35" t="s">
        <v>144</v>
      </c>
      <c r="M11" s="32"/>
    </row>
    <row r="12" spans="1:13" x14ac:dyDescent="0.25">
      <c r="A12" s="35" t="s">
        <v>161</v>
      </c>
      <c r="B12" s="35" t="s">
        <v>176</v>
      </c>
      <c r="C12" s="10" t="str">
        <f>Pareigybės!B8</f>
        <v>Sandėlininkas</v>
      </c>
      <c r="D12" s="37">
        <f>VLOOKUP(C12,Pareigybės!$B$4:$C$9,2,FALSE)</f>
        <v>1090</v>
      </c>
      <c r="E12" s="37">
        <f t="shared" si="0"/>
        <v>6.1931818181818183</v>
      </c>
      <c r="F12" s="36">
        <f t="shared" ca="1" si="1"/>
        <v>150</v>
      </c>
      <c r="G12" s="10" t="s">
        <v>49</v>
      </c>
      <c r="H12" s="35" t="str">
        <f t="shared" ca="1" si="2"/>
        <v>+37063919075</v>
      </c>
      <c r="I12" s="35" t="s">
        <v>145</v>
      </c>
    </row>
    <row r="13" spans="1:13" x14ac:dyDescent="0.25">
      <c r="A13" s="35" t="s">
        <v>162</v>
      </c>
      <c r="B13" s="35" t="s">
        <v>177</v>
      </c>
      <c r="C13" s="10" t="str">
        <f>Pareigybės!B8</f>
        <v>Sandėlininkas</v>
      </c>
      <c r="D13" s="37">
        <f>VLOOKUP(C13,Pareigybės!$B$4:$C$9,2,FALSE)</f>
        <v>1090</v>
      </c>
      <c r="E13" s="37">
        <f t="shared" si="0"/>
        <v>6.1931818181818183</v>
      </c>
      <c r="F13" s="36">
        <f t="shared" ca="1" si="1"/>
        <v>200</v>
      </c>
      <c r="G13" s="10" t="s">
        <v>49</v>
      </c>
      <c r="H13" s="35" t="str">
        <f t="shared" ca="1" si="2"/>
        <v>+37065567225</v>
      </c>
      <c r="I13" s="35" t="s">
        <v>146</v>
      </c>
    </row>
    <row r="14" spans="1:13" x14ac:dyDescent="0.25">
      <c r="A14" s="35" t="s">
        <v>163</v>
      </c>
      <c r="B14" s="35" t="s">
        <v>178</v>
      </c>
      <c r="C14" s="10" t="str">
        <f>Pareigybės!B9</f>
        <v>Gamybos darbuotojas</v>
      </c>
      <c r="D14" s="37">
        <f>VLOOKUP(C14,Pareigybės!$B$4:$C$9,2,FALSE)</f>
        <v>980</v>
      </c>
      <c r="E14" s="37">
        <f t="shared" si="0"/>
        <v>5.5681818181818183</v>
      </c>
      <c r="F14" s="36">
        <f t="shared" ca="1" si="1"/>
        <v>150</v>
      </c>
      <c r="G14" s="10" t="s">
        <v>49</v>
      </c>
      <c r="H14" s="35" t="str">
        <f t="shared" ca="1" si="2"/>
        <v>+37065022650</v>
      </c>
      <c r="I14" s="35" t="s">
        <v>147</v>
      </c>
    </row>
    <row r="15" spans="1:13" x14ac:dyDescent="0.25">
      <c r="A15" s="35" t="s">
        <v>164</v>
      </c>
      <c r="B15" s="35" t="s">
        <v>179</v>
      </c>
      <c r="C15" s="10" t="str">
        <f>Pareigybės!B9</f>
        <v>Gamybos darbuotojas</v>
      </c>
      <c r="D15" s="37">
        <f>VLOOKUP(C15,Pareigybės!$B$4:$C$9,2,FALSE)</f>
        <v>980</v>
      </c>
      <c r="E15" s="37">
        <f t="shared" si="0"/>
        <v>5.5681818181818183</v>
      </c>
      <c r="F15" s="36">
        <f t="shared" ca="1" si="1"/>
        <v>200</v>
      </c>
      <c r="G15" s="10" t="s">
        <v>49</v>
      </c>
      <c r="H15" s="35" t="str">
        <f t="shared" ca="1" si="2"/>
        <v>+37069543141</v>
      </c>
      <c r="I15" s="35" t="s">
        <v>148</v>
      </c>
    </row>
    <row r="16" spans="1:13" x14ac:dyDescent="0.25">
      <c r="A16" s="35" t="s">
        <v>165</v>
      </c>
      <c r="B16" s="35" t="s">
        <v>180</v>
      </c>
      <c r="C16" s="10" t="str">
        <f>Pareigybės!B9</f>
        <v>Gamybos darbuotojas</v>
      </c>
      <c r="D16" s="37">
        <f>VLOOKUP(C16,Pareigybės!$B$4:$C$9,2,FALSE)</f>
        <v>980</v>
      </c>
      <c r="E16" s="37">
        <f t="shared" si="0"/>
        <v>5.5681818181818183</v>
      </c>
      <c r="F16" s="36">
        <f t="shared" ca="1" si="1"/>
        <v>200</v>
      </c>
      <c r="G16" s="10" t="s">
        <v>49</v>
      </c>
      <c r="H16" s="35" t="str">
        <f t="shared" ca="1" si="2"/>
        <v>+37062238819</v>
      </c>
      <c r="I16" s="35" t="s">
        <v>149</v>
      </c>
    </row>
    <row r="17" spans="1:9" x14ac:dyDescent="0.25">
      <c r="A17" s="35" t="s">
        <v>166</v>
      </c>
      <c r="B17" s="35" t="s">
        <v>181</v>
      </c>
      <c r="C17" s="10" t="str">
        <f>Pareigybės!B9</f>
        <v>Gamybos darbuotojas</v>
      </c>
      <c r="D17" s="37">
        <f>VLOOKUP(C17,Pareigybės!$B$4:$C$9,2,FALSE)</f>
        <v>980</v>
      </c>
      <c r="E17" s="37">
        <f t="shared" si="0"/>
        <v>5.5681818181818183</v>
      </c>
      <c r="F17" s="36">
        <f t="shared" ca="1" si="1"/>
        <v>200</v>
      </c>
      <c r="G17" s="10" t="s">
        <v>49</v>
      </c>
      <c r="H17" s="35" t="str">
        <f t="shared" ca="1" si="2"/>
        <v>+37063308466</v>
      </c>
      <c r="I17" s="35" t="s">
        <v>150</v>
      </c>
    </row>
    <row r="18" spans="1:9" x14ac:dyDescent="0.25">
      <c r="A18" s="35" t="s">
        <v>167</v>
      </c>
      <c r="B18" s="35" t="s">
        <v>182</v>
      </c>
      <c r="C18" s="10" t="str">
        <f>Pareigybės!B9</f>
        <v>Gamybos darbuotojas</v>
      </c>
      <c r="D18" s="37">
        <f>VLOOKUP(C18,Pareigybės!$B$4:$C$9,2,FALSE)</f>
        <v>980</v>
      </c>
      <c r="E18" s="37">
        <f t="shared" si="0"/>
        <v>5.5681818181818183</v>
      </c>
      <c r="F18" s="36">
        <f t="shared" ca="1" si="1"/>
        <v>150</v>
      </c>
      <c r="G18" s="10" t="s">
        <v>49</v>
      </c>
      <c r="H18" s="35" t="str">
        <f t="shared" ca="1" si="2"/>
        <v>+37065602713</v>
      </c>
      <c r="I18" s="35" t="s">
        <v>151</v>
      </c>
    </row>
    <row r="19" spans="1:9" x14ac:dyDescent="0.25">
      <c r="A19" s="35" t="s">
        <v>168</v>
      </c>
      <c r="B19" s="35" t="s">
        <v>183</v>
      </c>
      <c r="C19" s="10" t="str">
        <f>Pareigybės!B9</f>
        <v>Gamybos darbuotojas</v>
      </c>
      <c r="D19" s="37">
        <f>VLOOKUP(C19,Pareigybės!$B$4:$C$9,2,FALSE)</f>
        <v>980</v>
      </c>
      <c r="E19" s="37">
        <f t="shared" si="0"/>
        <v>5.5681818181818183</v>
      </c>
      <c r="F19" s="36">
        <f t="shared" ca="1" si="1"/>
        <v>200</v>
      </c>
      <c r="G19" s="10" t="s">
        <v>49</v>
      </c>
      <c r="H19" s="35" t="str">
        <f t="shared" ca="1" si="2"/>
        <v>+37067237027</v>
      </c>
      <c r="I19" s="35" t="s">
        <v>152</v>
      </c>
    </row>
    <row r="20" spans="1:9" x14ac:dyDescent="0.25">
      <c r="A20" s="35" t="s">
        <v>169</v>
      </c>
      <c r="B20" s="35" t="s">
        <v>184</v>
      </c>
      <c r="C20" s="10" t="str">
        <f>Pareigybės!B9</f>
        <v>Gamybos darbuotojas</v>
      </c>
      <c r="D20" s="37">
        <f>VLOOKUP(C20,Pareigybės!$B$4:$C$9,2,FALSE)</f>
        <v>980</v>
      </c>
      <c r="E20" s="37">
        <f t="shared" si="0"/>
        <v>5.5681818181818183</v>
      </c>
      <c r="F20" s="36">
        <f t="shared" ca="1" si="1"/>
        <v>150</v>
      </c>
      <c r="G20" s="10" t="s">
        <v>49</v>
      </c>
      <c r="H20" s="35" t="str">
        <f t="shared" ca="1" si="2"/>
        <v>+37067369004</v>
      </c>
      <c r="I20" s="35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mergeCells count="1">
    <mergeCell ref="E2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opLeftCell="A2" zoomScale="85" zoomScaleNormal="85" workbookViewId="0">
      <selection activeCell="M40" sqref="M40"/>
    </sheetView>
  </sheetViews>
  <sheetFormatPr defaultColWidth="9.140625" defaultRowHeight="15" x14ac:dyDescent="0.25"/>
  <cols>
    <col min="1" max="1" width="24.28515625" style="19" bestFit="1" customWidth="1"/>
    <col min="2" max="2" width="9.28515625" style="19" customWidth="1"/>
    <col min="3" max="3" width="22.5703125" style="19" customWidth="1"/>
    <col min="4" max="4" width="18.5703125" style="19" customWidth="1"/>
    <col min="5" max="5" width="25.7109375" style="19" customWidth="1"/>
    <col min="6" max="6" width="29.7109375" style="19" customWidth="1"/>
    <col min="7" max="7" width="33.140625" style="19" customWidth="1"/>
    <col min="8" max="8" width="20.28515625" style="19" customWidth="1"/>
    <col min="9" max="9" width="21.85546875" style="19" customWidth="1"/>
    <col min="10" max="10" width="16" style="19" customWidth="1"/>
    <col min="11" max="11" width="23.7109375" style="19" customWidth="1"/>
    <col min="12" max="12" width="21.7109375" style="19" customWidth="1"/>
    <col min="13" max="13" width="44.5703125" style="19" customWidth="1"/>
    <col min="14" max="14" width="45" style="19" customWidth="1"/>
    <col min="15" max="15" width="24" style="19" customWidth="1"/>
    <col min="16" max="16" width="19.140625" style="19" customWidth="1"/>
    <col min="17" max="17" width="10.140625" style="19" customWidth="1"/>
    <col min="18" max="18" width="14.85546875" style="19" customWidth="1"/>
    <col min="19" max="19" width="15.140625" style="19" customWidth="1"/>
    <col min="20" max="20" width="34" style="19" customWidth="1"/>
    <col min="21" max="21" width="22.85546875" style="19" customWidth="1"/>
    <col min="22" max="22" width="21.140625" style="19" customWidth="1"/>
    <col min="23" max="23" width="25.7109375" style="19" customWidth="1"/>
    <col min="24" max="24" width="13.5703125" style="19" bestFit="1" customWidth="1"/>
    <col min="25" max="25" width="31.140625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64" t="s">
        <v>4</v>
      </c>
      <c r="K1" s="64"/>
      <c r="L1" s="22">
        <v>2E-3</v>
      </c>
      <c r="N1" s="66" t="s">
        <v>97</v>
      </c>
      <c r="O1" s="66"/>
      <c r="P1" s="66"/>
      <c r="Q1" s="66"/>
      <c r="R1" s="27">
        <v>1.6000000000000001E-3</v>
      </c>
      <c r="S1" s="33">
        <f ca="1">J7*R1</f>
        <v>26.399085714285718</v>
      </c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65" t="s">
        <v>76</v>
      </c>
      <c r="K2" s="65"/>
      <c r="L2" s="23">
        <f ca="1">O7*$L$1</f>
        <v>37.863857142857142</v>
      </c>
      <c r="N2" s="66" t="s">
        <v>98</v>
      </c>
      <c r="O2" s="66"/>
      <c r="P2" s="66"/>
      <c r="Q2" s="66"/>
      <c r="R2" s="24">
        <v>1.4E-3</v>
      </c>
      <c r="S2" s="34">
        <f ca="1">J7*R2</f>
        <v>23.0992</v>
      </c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186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16499.428571428572</v>
      </c>
      <c r="K7" s="23">
        <f t="shared" ref="K7:X7" ca="1" si="0">SUM(K10:K24)</f>
        <v>100</v>
      </c>
      <c r="L7" s="23">
        <f t="shared" ca="1" si="0"/>
        <v>1550.6363636363635</v>
      </c>
      <c r="M7" s="23">
        <f>SUM(M10:M24)</f>
        <v>0</v>
      </c>
      <c r="N7" s="23">
        <f t="shared" ca="1" si="0"/>
        <v>781.86363636363626</v>
      </c>
      <c r="O7" s="23">
        <f t="shared" ca="1" si="0"/>
        <v>18931.928571428572</v>
      </c>
      <c r="P7" s="23">
        <f t="shared" ca="1" si="0"/>
        <v>2244.1228138528131</v>
      </c>
      <c r="Q7" s="23">
        <f ca="1">SUM(Q10:Q24)</f>
        <v>3337.5611515151522</v>
      </c>
      <c r="R7" s="23">
        <f t="shared" ca="1" si="0"/>
        <v>2593.644279220779</v>
      </c>
      <c r="S7" s="23">
        <f t="shared" ca="1" si="0"/>
        <v>1321.448614285714</v>
      </c>
      <c r="T7" s="23">
        <f t="shared" ca="1" si="0"/>
        <v>567.95785714285694</v>
      </c>
      <c r="U7" s="23">
        <f t="shared" ca="1" si="0"/>
        <v>9496.7768588744602</v>
      </c>
      <c r="V7" s="23">
        <f t="shared" ca="1" si="0"/>
        <v>9435.1517125541122</v>
      </c>
      <c r="W7" s="23">
        <f t="shared" ca="1" si="0"/>
        <v>335.09513571428568</v>
      </c>
      <c r="X7" s="23">
        <f t="shared" ca="1" si="0"/>
        <v>2600</v>
      </c>
      <c r="Y7" s="23">
        <f ca="1">SUM(Y10:Y24)</f>
        <v>12035.151712554112</v>
      </c>
    </row>
    <row r="9" spans="1:25" s="26" customFormat="1" x14ac:dyDescent="0.25">
      <c r="A9" s="47" t="s">
        <v>14</v>
      </c>
      <c r="B9" s="48" t="s">
        <v>15</v>
      </c>
      <c r="C9" s="48" t="s">
        <v>16</v>
      </c>
      <c r="D9" s="48" t="s">
        <v>8</v>
      </c>
      <c r="E9" s="48" t="s">
        <v>101</v>
      </c>
      <c r="F9" s="48" t="s">
        <v>102</v>
      </c>
      <c r="G9" s="48" t="s">
        <v>18</v>
      </c>
      <c r="H9" s="48" t="s">
        <v>19</v>
      </c>
      <c r="I9" s="48" t="s">
        <v>20</v>
      </c>
      <c r="J9" s="48" t="s">
        <v>103</v>
      </c>
      <c r="K9" s="48" t="s">
        <v>104</v>
      </c>
      <c r="L9" s="48" t="s">
        <v>23</v>
      </c>
      <c r="M9" s="48" t="s">
        <v>24</v>
      </c>
      <c r="N9" s="48" t="s">
        <v>25</v>
      </c>
      <c r="O9" s="48" t="s">
        <v>26</v>
      </c>
      <c r="P9" s="48" t="s">
        <v>105</v>
      </c>
      <c r="Q9" s="48" t="s">
        <v>111</v>
      </c>
      <c r="R9" s="48" t="s">
        <v>99</v>
      </c>
      <c r="S9" s="48" t="s">
        <v>100</v>
      </c>
      <c r="T9" s="48" t="s">
        <v>47</v>
      </c>
      <c r="U9" s="48" t="s">
        <v>28</v>
      </c>
      <c r="V9" s="48" t="s">
        <v>29</v>
      </c>
      <c r="W9" s="48" t="s">
        <v>30</v>
      </c>
      <c r="X9" s="48" t="s">
        <v>31</v>
      </c>
      <c r="Y9" s="49" t="s">
        <v>32</v>
      </c>
    </row>
    <row r="10" spans="1:25" x14ac:dyDescent="0.25">
      <c r="A10" s="45" t="s">
        <v>154</v>
      </c>
      <c r="B10" s="38" t="str">
        <f t="shared" ref="B10:B24" si="1">"03"</f>
        <v>03</v>
      </c>
      <c r="C10" s="39">
        <f t="shared" ref="C10:C24" si="2">EOMONTH(DATE(2022,3,1),0)</f>
        <v>44651</v>
      </c>
      <c r="D10" s="35" t="str">
        <f>Darbuotojai!B6</f>
        <v>Darbuotojas1</v>
      </c>
      <c r="E10" s="40">
        <f>VLOOKUP(D10,Darbuotojai!$B$6:$D$20,3,FALSE)</f>
        <v>2800</v>
      </c>
      <c r="F10" s="42">
        <f>VLOOKUP(D10,Darbuotojai!$B$6:$E$20,4,FALSE)</f>
        <v>15.909090909090908</v>
      </c>
      <c r="G10" s="43">
        <f t="shared" ref="G10:G24" si="3">NETWORKDAYS(DATE(2026,3,1),DATE(2026,3,31),DATE(2026,3,11))</f>
        <v>21</v>
      </c>
      <c r="H10" s="43">
        <f t="shared" ref="H10:H24" ca="1" si="4">RANDBETWEEN(15,G10)</f>
        <v>20</v>
      </c>
      <c r="I10" s="43">
        <v>8</v>
      </c>
      <c r="J10" s="41">
        <f ca="1">E10*'Darbo užmokestis'!H10/'Darbo užmokestis'!G10</f>
        <v>2666.6666666666665</v>
      </c>
      <c r="K10" s="41">
        <f t="shared" ref="K10:K24" ca="1" si="5">IF(G10=H10,50,0)</f>
        <v>0</v>
      </c>
      <c r="L10" s="41">
        <f t="shared" ref="L10:L24" ca="1" si="6">IF(G10-H10&gt;4,F10*I10*(G10-H10),0)</f>
        <v>0</v>
      </c>
      <c r="M10" s="41">
        <v>0</v>
      </c>
      <c r="N10" s="41">
        <f t="shared" ref="N10:N24" ca="1" si="7">IF(G10-H10&lt;=4,F10*I10*(G10-H10),0)</f>
        <v>127.27272727272727</v>
      </c>
      <c r="O10" s="41">
        <f t="shared" ref="O10:O24" ca="1" si="8">SUM(J10:N10)</f>
        <v>2793.939393939394</v>
      </c>
      <c r="P10" s="41">
        <f t="shared" ref="P10:P24" ca="1" si="9">IF(IF(O10&lt;=730,460,IF(O10&lt;1678,460-0.26*O10,IF(O10&gt;1678,460-0.18*O10)))&gt;0,IF(O10&lt;=730,460,IF(O10&lt;1678,460-0.26*O10,IF(O10&gt;1678,460-0.18*O10))),0)</f>
        <v>0</v>
      </c>
      <c r="Q10" s="41">
        <f t="shared" ref="Q10:Q24" ca="1" si="10">(O10-P10)*20%</f>
        <v>558.78787878787887</v>
      </c>
      <c r="R10" s="34">
        <f t="shared" ref="R10:R24" ca="1" si="11">(O10-N10)*14.29%</f>
        <v>381.06666666666666</v>
      </c>
      <c r="S10" s="34">
        <f t="shared" ref="S10:S24" ca="1" si="12">O10*6.98%</f>
        <v>195.01696969696971</v>
      </c>
      <c r="T10" s="34">
        <f t="shared" ref="T10:T24" ca="1" si="13">O10*3%</f>
        <v>83.818181818181813</v>
      </c>
      <c r="U10" s="34">
        <f t="shared" ref="U10:U24" ca="1" si="14">SUM(P10:S10)</f>
        <v>1134.8715151515153</v>
      </c>
      <c r="V10" s="34">
        <f t="shared" ref="V10:V24" ca="1" si="15">O10-U10</f>
        <v>1659.0678787878787</v>
      </c>
      <c r="W10" s="34">
        <f t="shared" ref="W10:W24" ca="1" si="16">O10*1.77%</f>
        <v>49.452727272727273</v>
      </c>
      <c r="X10" s="34">
        <f ca="1">VLOOKUP(D10,Darbuotojai!B6:F20,5,FALSE)</f>
        <v>150</v>
      </c>
      <c r="Y10" s="46">
        <f t="shared" ref="Y10:Y24" ca="1" si="17">V10+X10</f>
        <v>1809.0678787878787</v>
      </c>
    </row>
    <row r="11" spans="1:25" x14ac:dyDescent="0.25">
      <c r="A11" s="45" t="s">
        <v>154</v>
      </c>
      <c r="B11" s="38" t="str">
        <f t="shared" si="1"/>
        <v>03</v>
      </c>
      <c r="C11" s="39">
        <f t="shared" si="2"/>
        <v>44651</v>
      </c>
      <c r="D11" s="35" t="str">
        <f>Darbuotojai!B7</f>
        <v>Darbuotojas2</v>
      </c>
      <c r="E11" s="40">
        <f>VLOOKUP(D11,Darbuotojai!$B$6:$D$20,3,FALSE)</f>
        <v>1600</v>
      </c>
      <c r="F11" s="42">
        <f>VLOOKUP(D11,Darbuotojai!$B$6:$E$20,4,FALSE)</f>
        <v>9.0909090909090917</v>
      </c>
      <c r="G11" s="43">
        <f t="shared" si="3"/>
        <v>21</v>
      </c>
      <c r="H11" s="43">
        <f t="shared" ca="1" si="4"/>
        <v>15</v>
      </c>
      <c r="I11" s="43">
        <v>8</v>
      </c>
      <c r="J11" s="41">
        <f ca="1">E11*'Darbo užmokestis'!H11/'Darbo užmokestis'!G11</f>
        <v>1142.8571428571429</v>
      </c>
      <c r="K11" s="41">
        <f t="shared" ca="1" si="5"/>
        <v>0</v>
      </c>
      <c r="L11" s="41">
        <f t="shared" ca="1" si="6"/>
        <v>436.36363636363637</v>
      </c>
      <c r="M11" s="41">
        <v>0</v>
      </c>
      <c r="N11" s="41">
        <f t="shared" ca="1" si="7"/>
        <v>0</v>
      </c>
      <c r="O11" s="41">
        <f t="shared" ca="1" si="8"/>
        <v>1579.2207792207791</v>
      </c>
      <c r="P11" s="41">
        <f t="shared" ca="1" si="9"/>
        <v>49.402597402597394</v>
      </c>
      <c r="Q11" s="41">
        <f t="shared" ca="1" si="10"/>
        <v>305.96363636363634</v>
      </c>
      <c r="R11" s="34">
        <f t="shared" ca="1" si="11"/>
        <v>225.67064935064934</v>
      </c>
      <c r="S11" s="34">
        <f t="shared" ca="1" si="12"/>
        <v>110.22961038961039</v>
      </c>
      <c r="T11" s="34">
        <f t="shared" ca="1" si="13"/>
        <v>47.376623376623371</v>
      </c>
      <c r="U11" s="34">
        <f t="shared" ca="1" si="14"/>
        <v>691.26649350649336</v>
      </c>
      <c r="V11" s="34">
        <f t="shared" ca="1" si="15"/>
        <v>887.95428571428579</v>
      </c>
      <c r="W11" s="34">
        <f t="shared" ca="1" si="16"/>
        <v>27.952207792207791</v>
      </c>
      <c r="X11" s="34">
        <f ca="1">VLOOKUP(D11,Darbuotojai!B7:F21,5,FALSE)</f>
        <v>200</v>
      </c>
      <c r="Y11" s="46">
        <f t="shared" ca="1" si="17"/>
        <v>1087.9542857142858</v>
      </c>
    </row>
    <row r="12" spans="1:25" x14ac:dyDescent="0.25">
      <c r="A12" s="45" t="s">
        <v>154</v>
      </c>
      <c r="B12" s="38" t="str">
        <f t="shared" si="1"/>
        <v>03</v>
      </c>
      <c r="C12" s="39">
        <f t="shared" si="2"/>
        <v>44651</v>
      </c>
      <c r="D12" s="35" t="str">
        <f>Darbuotojai!B8</f>
        <v>Darbuotojas3</v>
      </c>
      <c r="E12" s="40">
        <f>VLOOKUP(D12,Darbuotojai!$B$6:$D$20,3,FALSE)</f>
        <v>1600</v>
      </c>
      <c r="F12" s="42">
        <f>VLOOKUP(D12,Darbuotojai!$B$6:$E$20,4,FALSE)</f>
        <v>9.0909090909090917</v>
      </c>
      <c r="G12" s="43">
        <f t="shared" si="3"/>
        <v>21</v>
      </c>
      <c r="H12" s="43">
        <f t="shared" ca="1" si="4"/>
        <v>19</v>
      </c>
      <c r="I12" s="43">
        <v>8</v>
      </c>
      <c r="J12" s="41">
        <f ca="1">E12*'Darbo užmokestis'!H12/'Darbo užmokestis'!G12</f>
        <v>1447.6190476190477</v>
      </c>
      <c r="K12" s="41">
        <f t="shared" ca="1" si="5"/>
        <v>0</v>
      </c>
      <c r="L12" s="41">
        <f t="shared" ca="1" si="6"/>
        <v>0</v>
      </c>
      <c r="M12" s="41">
        <v>0</v>
      </c>
      <c r="N12" s="41">
        <f t="shared" ca="1" si="7"/>
        <v>145.45454545454547</v>
      </c>
      <c r="O12" s="41">
        <f t="shared" ca="1" si="8"/>
        <v>1593.0735930735932</v>
      </c>
      <c r="P12" s="41">
        <f t="shared" ca="1" si="9"/>
        <v>45.800865800865779</v>
      </c>
      <c r="Q12" s="41">
        <f t="shared" ca="1" si="10"/>
        <v>309.4545454545455</v>
      </c>
      <c r="R12" s="34">
        <f t="shared" ca="1" si="11"/>
        <v>206.86476190476191</v>
      </c>
      <c r="S12" s="34">
        <f t="shared" ca="1" si="12"/>
        <v>111.1965367965368</v>
      </c>
      <c r="T12" s="34">
        <f t="shared" ca="1" si="13"/>
        <v>47.792207792207797</v>
      </c>
      <c r="U12" s="34">
        <f t="shared" ca="1" si="14"/>
        <v>673.31670995670993</v>
      </c>
      <c r="V12" s="34">
        <f t="shared" ca="1" si="15"/>
        <v>919.75688311688327</v>
      </c>
      <c r="W12" s="34">
        <f t="shared" ca="1" si="16"/>
        <v>28.197402597402601</v>
      </c>
      <c r="X12" s="34">
        <f ca="1">VLOOKUP(D12,Darbuotojai!B8:F22,5,FALSE)</f>
        <v>150</v>
      </c>
      <c r="Y12" s="46">
        <f t="shared" ca="1" si="17"/>
        <v>1069.7568831168833</v>
      </c>
    </row>
    <row r="13" spans="1:25" x14ac:dyDescent="0.25">
      <c r="A13" s="45" t="s">
        <v>154</v>
      </c>
      <c r="B13" s="38" t="str">
        <f t="shared" si="1"/>
        <v>03</v>
      </c>
      <c r="C13" s="39">
        <f t="shared" si="2"/>
        <v>44651</v>
      </c>
      <c r="D13" s="35" t="str">
        <f>Darbuotojai!B9</f>
        <v>Darbuotojas4</v>
      </c>
      <c r="E13" s="40">
        <f>VLOOKUP(D13,Darbuotojai!$B$6:$D$20,3,FALSE)</f>
        <v>1505</v>
      </c>
      <c r="F13" s="42">
        <f>VLOOKUP(D13,Darbuotojai!$B$6:$E$20,4,FALSE)</f>
        <v>8.5511363636363633</v>
      </c>
      <c r="G13" s="43">
        <f t="shared" si="3"/>
        <v>21</v>
      </c>
      <c r="H13" s="43">
        <f t="shared" ca="1" si="4"/>
        <v>20</v>
      </c>
      <c r="I13" s="43">
        <v>8</v>
      </c>
      <c r="J13" s="41">
        <f ca="1">E13*'Darbo užmokestis'!H13/'Darbo užmokestis'!G13</f>
        <v>1433.3333333333333</v>
      </c>
      <c r="K13" s="41">
        <f t="shared" ca="1" si="5"/>
        <v>0</v>
      </c>
      <c r="L13" s="41">
        <f t="shared" ca="1" si="6"/>
        <v>0</v>
      </c>
      <c r="M13" s="41">
        <v>0</v>
      </c>
      <c r="N13" s="41">
        <f t="shared" ca="1" si="7"/>
        <v>68.409090909090907</v>
      </c>
      <c r="O13" s="41">
        <f t="shared" ca="1" si="8"/>
        <v>1501.7424242424242</v>
      </c>
      <c r="P13" s="41">
        <f t="shared" ca="1" si="9"/>
        <v>69.546969696969654</v>
      </c>
      <c r="Q13" s="41">
        <f t="shared" ca="1" si="10"/>
        <v>286.43909090909091</v>
      </c>
      <c r="R13" s="34">
        <f t="shared" ca="1" si="11"/>
        <v>204.82333333333332</v>
      </c>
      <c r="S13" s="34">
        <f t="shared" ca="1" si="12"/>
        <v>104.82162121212122</v>
      </c>
      <c r="T13" s="34">
        <f t="shared" ca="1" si="13"/>
        <v>45.052272727272722</v>
      </c>
      <c r="U13" s="34">
        <f t="shared" ca="1" si="14"/>
        <v>665.63101515151516</v>
      </c>
      <c r="V13" s="34">
        <f t="shared" ca="1" si="15"/>
        <v>836.11140909090909</v>
      </c>
      <c r="W13" s="34">
        <f t="shared" ca="1" si="16"/>
        <v>26.580840909090909</v>
      </c>
      <c r="X13" s="34">
        <f ca="1">VLOOKUP(D13,Darbuotojai!B9:F23,5,FALSE)</f>
        <v>150</v>
      </c>
      <c r="Y13" s="46">
        <f t="shared" ca="1" si="17"/>
        <v>986.11140909090909</v>
      </c>
    </row>
    <row r="14" spans="1:25" x14ac:dyDescent="0.25">
      <c r="A14" s="45" t="s">
        <v>154</v>
      </c>
      <c r="B14" s="38" t="str">
        <f t="shared" si="1"/>
        <v>03</v>
      </c>
      <c r="C14" s="39">
        <f t="shared" si="2"/>
        <v>44651</v>
      </c>
      <c r="D14" s="35" t="str">
        <f>Darbuotojai!B10</f>
        <v>Darbuotojas5</v>
      </c>
      <c r="E14" s="40">
        <f>VLOOKUP(D14,Darbuotojai!$B$6:$D$20,3,FALSE)</f>
        <v>1199</v>
      </c>
      <c r="F14" s="42">
        <f>VLOOKUP(D14,Darbuotojai!$B$6:$E$20,4,FALSE)</f>
        <v>6.8125</v>
      </c>
      <c r="G14" s="43">
        <f t="shared" si="3"/>
        <v>21</v>
      </c>
      <c r="H14" s="43">
        <f t="shared" ca="1" si="4"/>
        <v>15</v>
      </c>
      <c r="I14" s="43">
        <v>8</v>
      </c>
      <c r="J14" s="41">
        <f ca="1">E14*'Darbo užmokestis'!H14/'Darbo užmokestis'!G14</f>
        <v>856.42857142857144</v>
      </c>
      <c r="K14" s="41">
        <f t="shared" ca="1" si="5"/>
        <v>0</v>
      </c>
      <c r="L14" s="41">
        <f t="shared" ca="1" si="6"/>
        <v>327</v>
      </c>
      <c r="M14" s="41">
        <v>0</v>
      </c>
      <c r="N14" s="41">
        <f t="shared" ca="1" si="7"/>
        <v>0</v>
      </c>
      <c r="O14" s="41">
        <f t="shared" ca="1" si="8"/>
        <v>1183.4285714285716</v>
      </c>
      <c r="P14" s="41">
        <f t="shared" ca="1" si="9"/>
        <v>152.30857142857138</v>
      </c>
      <c r="Q14" s="41">
        <f t="shared" ca="1" si="10"/>
        <v>206.22400000000005</v>
      </c>
      <c r="R14" s="34">
        <f t="shared" ca="1" si="11"/>
        <v>169.11194285714288</v>
      </c>
      <c r="S14" s="34">
        <f t="shared" ca="1" si="12"/>
        <v>82.603314285714291</v>
      </c>
      <c r="T14" s="34">
        <f t="shared" ca="1" si="13"/>
        <v>35.502857142857145</v>
      </c>
      <c r="U14" s="34">
        <f t="shared" ca="1" si="14"/>
        <v>610.24782857142861</v>
      </c>
      <c r="V14" s="34">
        <f t="shared" ca="1" si="15"/>
        <v>573.18074285714295</v>
      </c>
      <c r="W14" s="34">
        <f t="shared" ca="1" si="16"/>
        <v>20.946685714285717</v>
      </c>
      <c r="X14" s="34">
        <f ca="1">VLOOKUP(D14,Darbuotojai!B10:F24,5,FALSE)</f>
        <v>200</v>
      </c>
      <c r="Y14" s="46">
        <f t="shared" ca="1" si="17"/>
        <v>773.18074285714295</v>
      </c>
    </row>
    <row r="15" spans="1:25" x14ac:dyDescent="0.25">
      <c r="A15" s="45" t="s">
        <v>154</v>
      </c>
      <c r="B15" s="38" t="str">
        <f t="shared" si="1"/>
        <v>03</v>
      </c>
      <c r="C15" s="39">
        <f t="shared" si="2"/>
        <v>44651</v>
      </c>
      <c r="D15" s="35" t="str">
        <f>Darbuotojai!B11</f>
        <v>Darbuotojas6</v>
      </c>
      <c r="E15" s="40">
        <f>VLOOKUP(D15,Darbuotojai!$B$6:$D$20,3,FALSE)</f>
        <v>1199</v>
      </c>
      <c r="F15" s="42">
        <f>VLOOKUP(D15,Darbuotojai!$B$6:$E$20,4,FALSE)</f>
        <v>6.8125</v>
      </c>
      <c r="G15" s="43">
        <f t="shared" si="3"/>
        <v>21</v>
      </c>
      <c r="H15" s="43">
        <f t="shared" ca="1" si="4"/>
        <v>17</v>
      </c>
      <c r="I15" s="43">
        <v>8</v>
      </c>
      <c r="J15" s="41">
        <f ca="1">E15*'Darbo užmokestis'!H15/'Darbo užmokestis'!G15</f>
        <v>970.61904761904759</v>
      </c>
      <c r="K15" s="41">
        <f t="shared" ca="1" si="5"/>
        <v>0</v>
      </c>
      <c r="L15" s="41">
        <f t="shared" ca="1" si="6"/>
        <v>0</v>
      </c>
      <c r="M15" s="41">
        <v>0</v>
      </c>
      <c r="N15" s="41">
        <f t="shared" ca="1" si="7"/>
        <v>218</v>
      </c>
      <c r="O15" s="41">
        <f t="shared" ca="1" si="8"/>
        <v>1188.6190476190477</v>
      </c>
      <c r="P15" s="41">
        <f t="shared" ca="1" si="9"/>
        <v>150.95904761904757</v>
      </c>
      <c r="Q15" s="41">
        <f t="shared" ca="1" si="10"/>
        <v>207.53200000000004</v>
      </c>
      <c r="R15" s="34">
        <f t="shared" ca="1" si="11"/>
        <v>138.70146190476191</v>
      </c>
      <c r="S15" s="34">
        <f t="shared" ca="1" si="12"/>
        <v>82.965609523809533</v>
      </c>
      <c r="T15" s="34">
        <f t="shared" ca="1" si="13"/>
        <v>35.658571428571427</v>
      </c>
      <c r="U15" s="34">
        <f t="shared" ca="1" si="14"/>
        <v>580.15811904761904</v>
      </c>
      <c r="V15" s="34">
        <f t="shared" ca="1" si="15"/>
        <v>608.46092857142867</v>
      </c>
      <c r="W15" s="34">
        <f t="shared" ca="1" si="16"/>
        <v>21.038557142857144</v>
      </c>
      <c r="X15" s="34">
        <f ca="1">VLOOKUP(D15,Darbuotojai!B11:F25,5,FALSE)</f>
        <v>150</v>
      </c>
      <c r="Y15" s="46">
        <f t="shared" ca="1" si="17"/>
        <v>758.46092857142867</v>
      </c>
    </row>
    <row r="16" spans="1:25" x14ac:dyDescent="0.25">
      <c r="A16" s="45" t="s">
        <v>154</v>
      </c>
      <c r="B16" s="38" t="str">
        <f t="shared" si="1"/>
        <v>03</v>
      </c>
      <c r="C16" s="39">
        <f t="shared" si="2"/>
        <v>44651</v>
      </c>
      <c r="D16" s="35" t="str">
        <f>Darbuotojai!B12</f>
        <v>Darbuotojas7</v>
      </c>
      <c r="E16" s="40">
        <f>VLOOKUP(D16,Darbuotojai!$B$6:$D$20,3,FALSE)</f>
        <v>1090</v>
      </c>
      <c r="F16" s="42">
        <f>VLOOKUP(D16,Darbuotojai!$B$6:$E$20,4,FALSE)</f>
        <v>6.1931818181818183</v>
      </c>
      <c r="G16" s="43">
        <f t="shared" si="3"/>
        <v>21</v>
      </c>
      <c r="H16" s="43">
        <f t="shared" ca="1" si="4"/>
        <v>15</v>
      </c>
      <c r="I16" s="43">
        <v>8</v>
      </c>
      <c r="J16" s="41">
        <f ca="1">E16*'Darbo užmokestis'!H16/'Darbo užmokestis'!G16</f>
        <v>778.57142857142856</v>
      </c>
      <c r="K16" s="41">
        <f t="shared" ca="1" si="5"/>
        <v>0</v>
      </c>
      <c r="L16" s="41">
        <f t="shared" ca="1" si="6"/>
        <v>297.27272727272725</v>
      </c>
      <c r="M16" s="41">
        <v>0</v>
      </c>
      <c r="N16" s="41">
        <f t="shared" ca="1" si="7"/>
        <v>0</v>
      </c>
      <c r="O16" s="41">
        <f t="shared" ca="1" si="8"/>
        <v>1075.8441558441559</v>
      </c>
      <c r="P16" s="41">
        <f t="shared" ca="1" si="9"/>
        <v>180.28051948051944</v>
      </c>
      <c r="Q16" s="41">
        <f t="shared" ca="1" si="10"/>
        <v>179.11272727272731</v>
      </c>
      <c r="R16" s="34">
        <f t="shared" ca="1" si="11"/>
        <v>153.73812987012988</v>
      </c>
      <c r="S16" s="34">
        <f t="shared" ca="1" si="12"/>
        <v>75.093922077922088</v>
      </c>
      <c r="T16" s="34">
        <f t="shared" ca="1" si="13"/>
        <v>32.275324675324676</v>
      </c>
      <c r="U16" s="34">
        <f t="shared" ca="1" si="14"/>
        <v>588.22529870129881</v>
      </c>
      <c r="V16" s="34">
        <f t="shared" ca="1" si="15"/>
        <v>487.61885714285711</v>
      </c>
      <c r="W16" s="34">
        <f t="shared" ca="1" si="16"/>
        <v>19.04244155844156</v>
      </c>
      <c r="X16" s="34">
        <f ca="1">VLOOKUP(D16,Darbuotojai!B12:F26,5,FALSE)</f>
        <v>150</v>
      </c>
      <c r="Y16" s="46">
        <f t="shared" ca="1" si="17"/>
        <v>637.61885714285711</v>
      </c>
    </row>
    <row r="17" spans="1:25" x14ac:dyDescent="0.25">
      <c r="A17" s="45" t="s">
        <v>154</v>
      </c>
      <c r="B17" s="38" t="str">
        <f t="shared" si="1"/>
        <v>03</v>
      </c>
      <c r="C17" s="39">
        <f t="shared" si="2"/>
        <v>44651</v>
      </c>
      <c r="D17" s="35" t="str">
        <f>Darbuotojai!B13</f>
        <v>Darbuotojas8</v>
      </c>
      <c r="E17" s="40">
        <f>VLOOKUP(D17,Darbuotojai!$B$6:$D$20,3,FALSE)</f>
        <v>1090</v>
      </c>
      <c r="F17" s="42">
        <f>VLOOKUP(D17,Darbuotojai!$B$6:$E$20,4,FALSE)</f>
        <v>6.1931818181818183</v>
      </c>
      <c r="G17" s="43">
        <f t="shared" si="3"/>
        <v>21</v>
      </c>
      <c r="H17" s="43">
        <f t="shared" ca="1" si="4"/>
        <v>21</v>
      </c>
      <c r="I17" s="43">
        <v>8</v>
      </c>
      <c r="J17" s="41">
        <f ca="1">E17*'Darbo užmokestis'!H17/'Darbo užmokestis'!G17</f>
        <v>1090</v>
      </c>
      <c r="K17" s="41">
        <f t="shared" ca="1" si="5"/>
        <v>50</v>
      </c>
      <c r="L17" s="41">
        <f t="shared" ca="1" si="6"/>
        <v>0</v>
      </c>
      <c r="M17" s="41">
        <v>0</v>
      </c>
      <c r="N17" s="41">
        <f t="shared" ca="1" si="7"/>
        <v>0</v>
      </c>
      <c r="O17" s="41">
        <f t="shared" ca="1" si="8"/>
        <v>1140</v>
      </c>
      <c r="P17" s="41">
        <f t="shared" ca="1" si="9"/>
        <v>163.59999999999997</v>
      </c>
      <c r="Q17" s="41">
        <f t="shared" ca="1" si="10"/>
        <v>195.28000000000003</v>
      </c>
      <c r="R17" s="34">
        <f t="shared" ca="1" si="11"/>
        <v>162.90600000000001</v>
      </c>
      <c r="S17" s="34">
        <f t="shared" ca="1" si="12"/>
        <v>79.572000000000003</v>
      </c>
      <c r="T17" s="34">
        <f t="shared" ca="1" si="13"/>
        <v>34.199999999999996</v>
      </c>
      <c r="U17" s="34">
        <f t="shared" ca="1" si="14"/>
        <v>601.35800000000006</v>
      </c>
      <c r="V17" s="34">
        <f t="shared" ca="1" si="15"/>
        <v>538.64199999999994</v>
      </c>
      <c r="W17" s="34">
        <f t="shared" ca="1" si="16"/>
        <v>20.178000000000001</v>
      </c>
      <c r="X17" s="34">
        <f ca="1">VLOOKUP(D17,Darbuotojai!B13:F27,5,FALSE)</f>
        <v>200</v>
      </c>
      <c r="Y17" s="46">
        <f t="shared" ca="1" si="17"/>
        <v>738.64199999999994</v>
      </c>
    </row>
    <row r="18" spans="1:25" x14ac:dyDescent="0.25">
      <c r="A18" s="45" t="s">
        <v>154</v>
      </c>
      <c r="B18" s="38" t="str">
        <f t="shared" si="1"/>
        <v>03</v>
      </c>
      <c r="C18" s="39">
        <f t="shared" si="2"/>
        <v>44651</v>
      </c>
      <c r="D18" s="35" t="str">
        <f>Darbuotojai!B14</f>
        <v>Darbuotojas9</v>
      </c>
      <c r="E18" s="40">
        <f>VLOOKUP(D18,Darbuotojai!$B$6:$D$20,3,FALSE)</f>
        <v>980</v>
      </c>
      <c r="F18" s="42">
        <f>VLOOKUP(D18,Darbuotojai!$B$6:$E$20,4,FALSE)</f>
        <v>5.5681818181818183</v>
      </c>
      <c r="G18" s="43">
        <f t="shared" si="3"/>
        <v>21</v>
      </c>
      <c r="H18" s="43">
        <f t="shared" ca="1" si="4"/>
        <v>20</v>
      </c>
      <c r="I18" s="43">
        <v>8</v>
      </c>
      <c r="J18" s="41">
        <f ca="1">E18*'Darbo užmokestis'!H18/'Darbo užmokestis'!G18</f>
        <v>933.33333333333337</v>
      </c>
      <c r="K18" s="41">
        <f t="shared" ca="1" si="5"/>
        <v>0</v>
      </c>
      <c r="L18" s="41">
        <f t="shared" ca="1" si="6"/>
        <v>0</v>
      </c>
      <c r="M18" s="41">
        <v>0</v>
      </c>
      <c r="N18" s="41">
        <f t="shared" ca="1" si="7"/>
        <v>44.545454545454547</v>
      </c>
      <c r="O18" s="41">
        <f t="shared" ca="1" si="8"/>
        <v>977.87878787878788</v>
      </c>
      <c r="P18" s="41">
        <f t="shared" ca="1" si="9"/>
        <v>205.75151515151515</v>
      </c>
      <c r="Q18" s="41">
        <f t="shared" ca="1" si="10"/>
        <v>154.42545454545456</v>
      </c>
      <c r="R18" s="34">
        <f t="shared" ca="1" si="11"/>
        <v>133.37333333333333</v>
      </c>
      <c r="S18" s="34">
        <f t="shared" ca="1" si="12"/>
        <v>68.2559393939394</v>
      </c>
      <c r="T18" s="34">
        <f t="shared" ca="1" si="13"/>
        <v>29.336363636363636</v>
      </c>
      <c r="U18" s="34">
        <f t="shared" ca="1" si="14"/>
        <v>561.80624242424244</v>
      </c>
      <c r="V18" s="34">
        <f t="shared" ca="1" si="15"/>
        <v>416.07254545454543</v>
      </c>
      <c r="W18" s="34">
        <f t="shared" ca="1" si="16"/>
        <v>17.308454545454545</v>
      </c>
      <c r="X18" s="34">
        <f ca="1">VLOOKUP(D18,Darbuotojai!B14:F28,5,FALSE)</f>
        <v>150</v>
      </c>
      <c r="Y18" s="46">
        <f t="shared" ca="1" si="17"/>
        <v>566.07254545454543</v>
      </c>
    </row>
    <row r="19" spans="1:25" x14ac:dyDescent="0.25">
      <c r="A19" s="45" t="s">
        <v>154</v>
      </c>
      <c r="B19" s="38" t="str">
        <f t="shared" si="1"/>
        <v>03</v>
      </c>
      <c r="C19" s="39">
        <f t="shared" si="2"/>
        <v>44651</v>
      </c>
      <c r="D19" s="35" t="str">
        <f>Darbuotojai!B15</f>
        <v>Darbuotojas10</v>
      </c>
      <c r="E19" s="40">
        <f>VLOOKUP(D19,Darbuotojai!$B$6:$D$20,3,FALSE)</f>
        <v>980</v>
      </c>
      <c r="F19" s="42">
        <f>VLOOKUP(D19,Darbuotojai!$B$6:$E$20,4,FALSE)</f>
        <v>5.5681818181818183</v>
      </c>
      <c r="G19" s="43">
        <f t="shared" si="3"/>
        <v>21</v>
      </c>
      <c r="H19" s="43">
        <f t="shared" ca="1" si="4"/>
        <v>20</v>
      </c>
      <c r="I19" s="43">
        <v>8</v>
      </c>
      <c r="J19" s="41">
        <f ca="1">E19*'Darbo užmokestis'!H19/'Darbo užmokestis'!G19</f>
        <v>933.33333333333337</v>
      </c>
      <c r="K19" s="41">
        <f t="shared" ca="1" si="5"/>
        <v>0</v>
      </c>
      <c r="L19" s="41">
        <f t="shared" ca="1" si="6"/>
        <v>0</v>
      </c>
      <c r="M19" s="41">
        <v>0</v>
      </c>
      <c r="N19" s="41">
        <f t="shared" ca="1" si="7"/>
        <v>44.545454545454547</v>
      </c>
      <c r="O19" s="41">
        <f t="shared" ca="1" si="8"/>
        <v>977.87878787878788</v>
      </c>
      <c r="P19" s="41">
        <f t="shared" ca="1" si="9"/>
        <v>205.75151515151515</v>
      </c>
      <c r="Q19" s="41">
        <f t="shared" ca="1" si="10"/>
        <v>154.42545454545456</v>
      </c>
      <c r="R19" s="34">
        <f t="shared" ca="1" si="11"/>
        <v>133.37333333333333</v>
      </c>
      <c r="S19" s="34">
        <f t="shared" ca="1" si="12"/>
        <v>68.2559393939394</v>
      </c>
      <c r="T19" s="34">
        <f t="shared" ca="1" si="13"/>
        <v>29.336363636363636</v>
      </c>
      <c r="U19" s="34">
        <f t="shared" ca="1" si="14"/>
        <v>561.80624242424244</v>
      </c>
      <c r="V19" s="34">
        <f t="shared" ca="1" si="15"/>
        <v>416.07254545454543</v>
      </c>
      <c r="W19" s="34">
        <f t="shared" ca="1" si="16"/>
        <v>17.308454545454545</v>
      </c>
      <c r="X19" s="34">
        <f ca="1">VLOOKUP(D19,Darbuotojai!B15:F29,5,FALSE)</f>
        <v>200</v>
      </c>
      <c r="Y19" s="46">
        <f t="shared" ca="1" si="17"/>
        <v>616.07254545454543</v>
      </c>
    </row>
    <row r="20" spans="1:25" x14ac:dyDescent="0.25">
      <c r="A20" s="45" t="s">
        <v>154</v>
      </c>
      <c r="B20" s="38" t="str">
        <f t="shared" si="1"/>
        <v>03</v>
      </c>
      <c r="C20" s="39">
        <f t="shared" si="2"/>
        <v>44651</v>
      </c>
      <c r="D20" s="35" t="str">
        <f>Darbuotojai!B16</f>
        <v>Darbuotojas11</v>
      </c>
      <c r="E20" s="40">
        <f>VLOOKUP(D20,Darbuotojai!$B$6:$D$20,3,FALSE)</f>
        <v>980</v>
      </c>
      <c r="F20" s="42">
        <f>VLOOKUP(D20,Darbuotojai!$B$6:$E$20,4,FALSE)</f>
        <v>5.5681818181818183</v>
      </c>
      <c r="G20" s="43">
        <f t="shared" si="3"/>
        <v>21</v>
      </c>
      <c r="H20" s="43">
        <f t="shared" ca="1" si="4"/>
        <v>19</v>
      </c>
      <c r="I20" s="43">
        <v>8</v>
      </c>
      <c r="J20" s="41">
        <f ca="1">E20*'Darbo užmokestis'!H20/'Darbo užmokestis'!G20</f>
        <v>886.66666666666663</v>
      </c>
      <c r="K20" s="41">
        <f t="shared" ca="1" si="5"/>
        <v>0</v>
      </c>
      <c r="L20" s="41">
        <f t="shared" ca="1" si="6"/>
        <v>0</v>
      </c>
      <c r="M20" s="41">
        <v>0</v>
      </c>
      <c r="N20" s="41">
        <f t="shared" ca="1" si="7"/>
        <v>89.090909090909093</v>
      </c>
      <c r="O20" s="41">
        <f t="shared" ca="1" si="8"/>
        <v>975.75757575757575</v>
      </c>
      <c r="P20" s="41">
        <f t="shared" ca="1" si="9"/>
        <v>206.30303030303028</v>
      </c>
      <c r="Q20" s="41">
        <f t="shared" ca="1" si="10"/>
        <v>153.8909090909091</v>
      </c>
      <c r="R20" s="34">
        <f t="shared" ca="1" si="11"/>
        <v>126.70466666666665</v>
      </c>
      <c r="S20" s="34">
        <f t="shared" ca="1" si="12"/>
        <v>68.107878787878789</v>
      </c>
      <c r="T20" s="34">
        <f t="shared" ca="1" si="13"/>
        <v>29.27272727272727</v>
      </c>
      <c r="U20" s="34">
        <f t="shared" ca="1" si="14"/>
        <v>555.00648484848477</v>
      </c>
      <c r="V20" s="34">
        <f t="shared" ca="1" si="15"/>
        <v>420.75109090909098</v>
      </c>
      <c r="W20" s="34">
        <f t="shared" ca="1" si="16"/>
        <v>17.27090909090909</v>
      </c>
      <c r="X20" s="34">
        <f ca="1">VLOOKUP(D20,Darbuotojai!B16:F30,5,FALSE)</f>
        <v>200</v>
      </c>
      <c r="Y20" s="46">
        <f t="shared" ca="1" si="17"/>
        <v>620.75109090909098</v>
      </c>
    </row>
    <row r="21" spans="1:25" x14ac:dyDescent="0.25">
      <c r="A21" s="45" t="s">
        <v>154</v>
      </c>
      <c r="B21" s="38" t="str">
        <f t="shared" si="1"/>
        <v>03</v>
      </c>
      <c r="C21" s="39">
        <f t="shared" si="2"/>
        <v>44651</v>
      </c>
      <c r="D21" s="35" t="str">
        <f>Darbuotojai!B17</f>
        <v>Darbuotojas12</v>
      </c>
      <c r="E21" s="40">
        <f>VLOOKUP(D21,Darbuotojai!$B$6:$D$20,3,FALSE)</f>
        <v>980</v>
      </c>
      <c r="F21" s="42">
        <f>VLOOKUP(D21,Darbuotojai!$B$6:$E$20,4,FALSE)</f>
        <v>5.5681818181818183</v>
      </c>
      <c r="G21" s="43">
        <f t="shared" si="3"/>
        <v>21</v>
      </c>
      <c r="H21" s="43">
        <f t="shared" ca="1" si="4"/>
        <v>20</v>
      </c>
      <c r="I21" s="43">
        <v>8</v>
      </c>
      <c r="J21" s="41">
        <f ca="1">E21*'Darbo užmokestis'!H21/'Darbo užmokestis'!G21</f>
        <v>933.33333333333337</v>
      </c>
      <c r="K21" s="41">
        <f t="shared" ca="1" si="5"/>
        <v>0</v>
      </c>
      <c r="L21" s="41">
        <f t="shared" ca="1" si="6"/>
        <v>0</v>
      </c>
      <c r="M21" s="41">
        <v>0</v>
      </c>
      <c r="N21" s="41">
        <f t="shared" ca="1" si="7"/>
        <v>44.545454545454547</v>
      </c>
      <c r="O21" s="41">
        <f t="shared" ca="1" si="8"/>
        <v>977.87878787878788</v>
      </c>
      <c r="P21" s="41">
        <f t="shared" ca="1" si="9"/>
        <v>205.75151515151515</v>
      </c>
      <c r="Q21" s="41">
        <f t="shared" ca="1" si="10"/>
        <v>154.42545454545456</v>
      </c>
      <c r="R21" s="34">
        <f t="shared" ca="1" si="11"/>
        <v>133.37333333333333</v>
      </c>
      <c r="S21" s="34">
        <f t="shared" ca="1" si="12"/>
        <v>68.2559393939394</v>
      </c>
      <c r="T21" s="34">
        <f t="shared" ca="1" si="13"/>
        <v>29.336363636363636</v>
      </c>
      <c r="U21" s="34">
        <f t="shared" ca="1" si="14"/>
        <v>561.80624242424244</v>
      </c>
      <c r="V21" s="34">
        <f t="shared" ca="1" si="15"/>
        <v>416.07254545454543</v>
      </c>
      <c r="W21" s="34">
        <f t="shared" ca="1" si="16"/>
        <v>17.308454545454545</v>
      </c>
      <c r="X21" s="34">
        <f ca="1">VLOOKUP(D21,Darbuotojai!B17:F31,5,FALSE)</f>
        <v>200</v>
      </c>
      <c r="Y21" s="46">
        <f t="shared" ca="1" si="17"/>
        <v>616.07254545454543</v>
      </c>
    </row>
    <row r="22" spans="1:25" x14ac:dyDescent="0.25">
      <c r="A22" s="45" t="s">
        <v>154</v>
      </c>
      <c r="B22" s="38" t="str">
        <f t="shared" si="1"/>
        <v>03</v>
      </c>
      <c r="C22" s="39">
        <f t="shared" si="2"/>
        <v>44651</v>
      </c>
      <c r="D22" s="35" t="str">
        <f>Darbuotojai!B18</f>
        <v>Darbuotojas13</v>
      </c>
      <c r="E22" s="40">
        <f>VLOOKUP(D22,Darbuotojai!$B$6:$D$20,3,FALSE)</f>
        <v>980</v>
      </c>
      <c r="F22" s="42">
        <f>VLOOKUP(D22,Darbuotojai!$B$6:$E$20,4,FALSE)</f>
        <v>5.5681818181818183</v>
      </c>
      <c r="G22" s="43">
        <f t="shared" si="3"/>
        <v>21</v>
      </c>
      <c r="H22" s="43">
        <f t="shared" ca="1" si="4"/>
        <v>15</v>
      </c>
      <c r="I22" s="43">
        <v>8</v>
      </c>
      <c r="J22" s="41">
        <f ca="1">E22*'Darbo užmokestis'!H22/'Darbo užmokestis'!G22</f>
        <v>700</v>
      </c>
      <c r="K22" s="41">
        <f t="shared" ca="1" si="5"/>
        <v>0</v>
      </c>
      <c r="L22" s="41">
        <f t="shared" ca="1" si="6"/>
        <v>267.27272727272725</v>
      </c>
      <c r="M22" s="41">
        <v>0</v>
      </c>
      <c r="N22" s="41">
        <f t="shared" ca="1" si="7"/>
        <v>0</v>
      </c>
      <c r="O22" s="41">
        <f t="shared" ca="1" si="8"/>
        <v>967.27272727272725</v>
      </c>
      <c r="P22" s="41">
        <f t="shared" ca="1" si="9"/>
        <v>208.5090909090909</v>
      </c>
      <c r="Q22" s="41">
        <f t="shared" ca="1" si="10"/>
        <v>151.75272727272727</v>
      </c>
      <c r="R22" s="34">
        <f t="shared" ca="1" si="11"/>
        <v>138.22327272727273</v>
      </c>
      <c r="S22" s="34">
        <f t="shared" ca="1" si="12"/>
        <v>67.515636363636361</v>
      </c>
      <c r="T22" s="34">
        <f t="shared" ca="1" si="13"/>
        <v>29.018181818181816</v>
      </c>
      <c r="U22" s="34">
        <f t="shared" ca="1" si="14"/>
        <v>566.00072727272732</v>
      </c>
      <c r="V22" s="34">
        <f t="shared" ca="1" si="15"/>
        <v>401.27199999999993</v>
      </c>
      <c r="W22" s="34">
        <f t="shared" ca="1" si="16"/>
        <v>17.120727272727272</v>
      </c>
      <c r="X22" s="34">
        <f ca="1">VLOOKUP(D22,Darbuotojai!B18:F32,5,FALSE)</f>
        <v>150</v>
      </c>
      <c r="Y22" s="46">
        <f t="shared" ca="1" si="17"/>
        <v>551.27199999999993</v>
      </c>
    </row>
    <row r="23" spans="1:25" x14ac:dyDescent="0.25">
      <c r="A23" s="45" t="s">
        <v>154</v>
      </c>
      <c r="B23" s="38" t="str">
        <f t="shared" si="1"/>
        <v>03</v>
      </c>
      <c r="C23" s="39">
        <f t="shared" si="2"/>
        <v>44651</v>
      </c>
      <c r="D23" s="35" t="str">
        <f>Darbuotojai!B19</f>
        <v>Darbuotojas14</v>
      </c>
      <c r="E23" s="40">
        <f>VLOOKUP(D23,Darbuotojai!$B$6:$D$20,3,FALSE)</f>
        <v>980</v>
      </c>
      <c r="F23" s="42">
        <f>VLOOKUP(D23,Darbuotojai!$B$6:$E$20,4,FALSE)</f>
        <v>5.5681818181818183</v>
      </c>
      <c r="G23" s="43">
        <f t="shared" si="3"/>
        <v>21</v>
      </c>
      <c r="H23" s="43">
        <f t="shared" ca="1" si="4"/>
        <v>16</v>
      </c>
      <c r="I23" s="43">
        <v>8</v>
      </c>
      <c r="J23" s="41">
        <f ca="1">E23*'Darbo užmokestis'!H23/'Darbo užmokestis'!G23</f>
        <v>746.66666666666663</v>
      </c>
      <c r="K23" s="41">
        <f t="shared" ca="1" si="5"/>
        <v>0</v>
      </c>
      <c r="L23" s="41">
        <f t="shared" ca="1" si="6"/>
        <v>222.72727272727275</v>
      </c>
      <c r="M23" s="41">
        <v>0</v>
      </c>
      <c r="N23" s="41">
        <f t="shared" ca="1" si="7"/>
        <v>0</v>
      </c>
      <c r="O23" s="41">
        <f t="shared" ca="1" si="8"/>
        <v>969.39393939393938</v>
      </c>
      <c r="P23" s="41">
        <f t="shared" ca="1" si="9"/>
        <v>207.95757575757574</v>
      </c>
      <c r="Q23" s="41">
        <f t="shared" ca="1" si="10"/>
        <v>152.28727272727275</v>
      </c>
      <c r="R23" s="34">
        <f t="shared" ca="1" si="11"/>
        <v>138.52639393939393</v>
      </c>
      <c r="S23" s="34">
        <f t="shared" ca="1" si="12"/>
        <v>67.663696969696971</v>
      </c>
      <c r="T23" s="34">
        <f t="shared" ca="1" si="13"/>
        <v>29.081818181818178</v>
      </c>
      <c r="U23" s="34">
        <f t="shared" ca="1" si="14"/>
        <v>566.43493939393943</v>
      </c>
      <c r="V23" s="34">
        <f t="shared" ca="1" si="15"/>
        <v>402.95899999999995</v>
      </c>
      <c r="W23" s="34">
        <f t="shared" ca="1" si="16"/>
        <v>17.158272727272728</v>
      </c>
      <c r="X23" s="34">
        <f ca="1">VLOOKUP(D23,Darbuotojai!B19:F33,5,FALSE)</f>
        <v>200</v>
      </c>
      <c r="Y23" s="46">
        <f t="shared" ca="1" si="17"/>
        <v>602.95899999999995</v>
      </c>
    </row>
    <row r="24" spans="1:25" x14ac:dyDescent="0.25">
      <c r="A24" s="50" t="s">
        <v>154</v>
      </c>
      <c r="B24" s="51" t="str">
        <f t="shared" si="1"/>
        <v>03</v>
      </c>
      <c r="C24" s="52">
        <f t="shared" si="2"/>
        <v>44651</v>
      </c>
      <c r="D24" s="53" t="str">
        <f>Darbuotojai!B20</f>
        <v>Darbuotojas15</v>
      </c>
      <c r="E24" s="54">
        <f>VLOOKUP(D24,Darbuotojai!$B$6:$D$20,3,FALSE)</f>
        <v>980</v>
      </c>
      <c r="F24" s="55">
        <f>VLOOKUP(D24,Darbuotojai!$B$6:$E$20,4,FALSE)</f>
        <v>5.5681818181818183</v>
      </c>
      <c r="G24" s="56">
        <f t="shared" si="3"/>
        <v>21</v>
      </c>
      <c r="H24" s="56">
        <f t="shared" ca="1" si="4"/>
        <v>21</v>
      </c>
      <c r="I24" s="56">
        <v>8</v>
      </c>
      <c r="J24" s="57">
        <f ca="1">E24*'Darbo užmokestis'!H24/'Darbo užmokestis'!G24</f>
        <v>980</v>
      </c>
      <c r="K24" s="57">
        <f t="shared" ca="1" si="5"/>
        <v>50</v>
      </c>
      <c r="L24" s="57">
        <f t="shared" ca="1" si="6"/>
        <v>0</v>
      </c>
      <c r="M24" s="57">
        <v>0</v>
      </c>
      <c r="N24" s="57">
        <f t="shared" ca="1" si="7"/>
        <v>0</v>
      </c>
      <c r="O24" s="57">
        <f t="shared" ca="1" si="8"/>
        <v>1030</v>
      </c>
      <c r="P24" s="57">
        <f t="shared" ca="1" si="9"/>
        <v>192.2</v>
      </c>
      <c r="Q24" s="57">
        <f t="shared" ca="1" si="10"/>
        <v>167.56</v>
      </c>
      <c r="R24" s="58">
        <f t="shared" ca="1" si="11"/>
        <v>147.18700000000001</v>
      </c>
      <c r="S24" s="58">
        <f t="shared" ca="1" si="12"/>
        <v>71.894000000000005</v>
      </c>
      <c r="T24" s="58">
        <f t="shared" ca="1" si="13"/>
        <v>30.9</v>
      </c>
      <c r="U24" s="58">
        <f t="shared" ca="1" si="14"/>
        <v>578.84100000000001</v>
      </c>
      <c r="V24" s="58">
        <f t="shared" ca="1" si="15"/>
        <v>451.15899999999999</v>
      </c>
      <c r="W24" s="58">
        <f t="shared" ca="1" si="16"/>
        <v>18.231000000000002</v>
      </c>
      <c r="X24" s="58">
        <f ca="1">VLOOKUP(D24,Darbuotojai!B20:F34,5,FALSE)</f>
        <v>150</v>
      </c>
      <c r="Y24" s="59">
        <f t="shared" ca="1" si="17"/>
        <v>601.15899999999999</v>
      </c>
    </row>
  </sheetData>
  <sortState xmlns:xlrd2="http://schemas.microsoft.com/office/spreadsheetml/2017/richdata2" ref="A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1" priority="1" bottom="1" rank="5"/>
    <cfRule type="top10" dxfId="0" priority="2" bottom="1" rank="5"/>
    <cfRule type="top10" priority="3" bottom="1" rank="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12"/>
  <sheetViews>
    <sheetView tabSelected="1" workbookViewId="0">
      <selection activeCell="E8" sqref="E8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5" x14ac:dyDescent="0.25">
      <c r="A3" s="1">
        <v>1</v>
      </c>
      <c r="B3" s="1" t="s">
        <v>109</v>
      </c>
      <c r="C3" s="67">
        <f ca="1">COUNTIF('Darbo užmokestis'!H:H,"&gt;=18")</f>
        <v>9</v>
      </c>
    </row>
    <row r="4" spans="1:5" ht="30" x14ac:dyDescent="0.25">
      <c r="A4" s="1">
        <v>2</v>
      </c>
      <c r="B4" s="28" t="s">
        <v>120</v>
      </c>
      <c r="C4" s="36">
        <f ca="1">SUMIF('Darbo užmokestis'!H:H,"&lt;18",'Darbo užmokestis'!V:V)</f>
        <v>3361.4458142857143</v>
      </c>
    </row>
    <row r="5" spans="1:5" x14ac:dyDescent="0.25">
      <c r="A5" s="1">
        <v>3</v>
      </c>
      <c r="B5" s="1" t="s">
        <v>107</v>
      </c>
      <c r="C5" s="36">
        <f ca="1">AVERAGE('Darbo užmokestis'!X:X)</f>
        <v>325</v>
      </c>
    </row>
    <row r="6" spans="1:5" ht="30" x14ac:dyDescent="0.25">
      <c r="A6" s="1">
        <v>4</v>
      </c>
      <c r="B6" s="28" t="s">
        <v>119</v>
      </c>
      <c r="C6" s="36">
        <f ca="1">AVERAGEIF('Darbo užmokestis'!F:F,"&lt;8",'Darbo užmokestis'!R:R)</f>
        <v>143.2017152695789</v>
      </c>
    </row>
    <row r="7" spans="1:5" x14ac:dyDescent="0.25">
      <c r="A7" s="1">
        <v>5</v>
      </c>
      <c r="B7" s="1" t="s">
        <v>108</v>
      </c>
      <c r="C7" s="36">
        <f ca="1">MEDIAN('Darbo užmokestis'!P:P)</f>
        <v>186.24025974025972</v>
      </c>
    </row>
    <row r="8" spans="1:5" x14ac:dyDescent="0.25">
      <c r="A8" s="1">
        <v>6</v>
      </c>
      <c r="B8" s="1" t="s">
        <v>110</v>
      </c>
      <c r="C8" s="36">
        <f ca="1">LARGE('Darbo užmokestis'!Q:Q,2)</f>
        <v>558.78787878787887</v>
      </c>
    </row>
    <row r="12" spans="1:5" x14ac:dyDescent="0.25">
      <c r="E12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Mokinys_11</cp:lastModifiedBy>
  <dcterms:created xsi:type="dcterms:W3CDTF">2018-12-13T14:39:32Z</dcterms:created>
  <dcterms:modified xsi:type="dcterms:W3CDTF">2026-05-08T06:29:29Z</dcterms:modified>
</cp:coreProperties>
</file>