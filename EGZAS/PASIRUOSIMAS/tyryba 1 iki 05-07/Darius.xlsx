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naujas_serveris\4kt2\PASIRUOSIMAS\tyryba 1 iki 05-07\"/>
    </mc:Choice>
  </mc:AlternateContent>
  <xr:revisionPtr revIDLastSave="0" documentId="13_ncr:1_{116F6BDC-FA8C-4180-AB8F-55FB2975B1F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Užduotis" sheetId="4" r:id="rId1"/>
    <sheet name="Pareigybės" sheetId="5" r:id="rId2"/>
    <sheet name="Darbuotojai" sheetId="2" r:id="rId3"/>
    <sheet name="Darbo užmokestis" sheetId="3" r:id="rId4"/>
    <sheet name="suvestinė" sheetId="6" r:id="rId5"/>
  </sheets>
  <definedNames>
    <definedName name="_xlnm._FilterDatabase" localSheetId="3" hidden="1">'Darbo užmokestis'!$A$9:$Y$24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" i="3" l="1"/>
  <c r="M12" i="3"/>
  <c r="M13" i="3"/>
  <c r="M14" i="3"/>
  <c r="M15" i="3"/>
  <c r="M16" i="3"/>
  <c r="M7" i="3" s="1"/>
  <c r="M17" i="3"/>
  <c r="M18" i="3"/>
  <c r="M19" i="3"/>
  <c r="M20" i="3"/>
  <c r="M21" i="3"/>
  <c r="M22" i="3"/>
  <c r="M23" i="3"/>
  <c r="M24" i="3"/>
  <c r="M10" i="3"/>
  <c r="H6" i="2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10" i="3"/>
  <c r="F6" i="2"/>
  <c r="X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I16" i="3" s="1"/>
  <c r="H17" i="3"/>
  <c r="I17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H24" i="3"/>
  <c r="I24" i="3" s="1"/>
  <c r="H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10" i="3"/>
  <c r="D6" i="2"/>
  <c r="E6" i="2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10" i="3"/>
  <c r="D10" i="3"/>
  <c r="C12" i="2"/>
  <c r="E11" i="3"/>
  <c r="E12" i="3"/>
  <c r="E13" i="3"/>
  <c r="E14" i="3"/>
  <c r="E15" i="3"/>
  <c r="E17" i="3"/>
  <c r="E18" i="3"/>
  <c r="E19" i="3"/>
  <c r="E20" i="3"/>
  <c r="E21" i="3"/>
  <c r="E22" i="3"/>
  <c r="E23" i="3"/>
  <c r="E24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F7" i="2"/>
  <c r="X11" i="3" s="1"/>
  <c r="F8" i="2"/>
  <c r="X12" i="3" s="1"/>
  <c r="F9" i="2"/>
  <c r="X13" i="3" s="1"/>
  <c r="F10" i="2"/>
  <c r="X14" i="3" s="1"/>
  <c r="F11" i="2"/>
  <c r="X15" i="3" s="1"/>
  <c r="F12" i="2"/>
  <c r="X16" i="3" s="1"/>
  <c r="F13" i="2"/>
  <c r="X17" i="3" s="1"/>
  <c r="F14" i="2"/>
  <c r="X18" i="3" s="1"/>
  <c r="F15" i="2"/>
  <c r="X19" i="3" s="1"/>
  <c r="F16" i="2"/>
  <c r="X20" i="3" s="1"/>
  <c r="F17" i="2"/>
  <c r="X21" i="3" s="1"/>
  <c r="F18" i="2"/>
  <c r="X22" i="3" s="1"/>
  <c r="F19" i="2"/>
  <c r="X23" i="3" s="1"/>
  <c r="F20" i="2"/>
  <c r="X24" i="3" s="1"/>
  <c r="E7" i="2"/>
  <c r="E8" i="2"/>
  <c r="E9" i="2"/>
  <c r="E10" i="2"/>
  <c r="E11" i="2"/>
  <c r="E13" i="2"/>
  <c r="E14" i="2"/>
  <c r="E15" i="2"/>
  <c r="E16" i="2"/>
  <c r="E17" i="2"/>
  <c r="E18" i="2"/>
  <c r="E19" i="2"/>
  <c r="E20" i="2"/>
  <c r="D7" i="2"/>
  <c r="D8" i="2"/>
  <c r="D9" i="2"/>
  <c r="D10" i="2"/>
  <c r="D11" i="2"/>
  <c r="D12" i="2"/>
  <c r="E12" i="2" s="1"/>
  <c r="D13" i="2"/>
  <c r="D14" i="2"/>
  <c r="D15" i="2"/>
  <c r="D16" i="2"/>
  <c r="D17" i="2"/>
  <c r="D18" i="2"/>
  <c r="D19" i="2"/>
  <c r="D20" i="2"/>
  <c r="C10" i="2"/>
  <c r="C11" i="2"/>
  <c r="C9" i="2"/>
  <c r="C8" i="2"/>
  <c r="C7" i="2"/>
  <c r="C13" i="2"/>
  <c r="C14" i="2"/>
  <c r="C15" i="2"/>
  <c r="C16" i="2"/>
  <c r="C17" i="2"/>
  <c r="C18" i="2"/>
  <c r="C19" i="2"/>
  <c r="C20" i="2"/>
  <c r="C6" i="2"/>
  <c r="C5" i="6" l="1"/>
  <c r="I10" i="3"/>
  <c r="C3" i="6"/>
  <c r="N21" i="3"/>
  <c r="N20" i="3"/>
  <c r="N19" i="3"/>
  <c r="N14" i="3"/>
  <c r="N13" i="3"/>
  <c r="N22" i="3"/>
  <c r="N18" i="3"/>
  <c r="N17" i="3"/>
  <c r="N16" i="3"/>
  <c r="N15" i="3"/>
  <c r="N24" i="3"/>
  <c r="N12" i="3"/>
  <c r="N23" i="3"/>
  <c r="N11" i="3"/>
  <c r="N10" i="3"/>
  <c r="L21" i="3"/>
  <c r="L20" i="3"/>
  <c r="L19" i="3"/>
  <c r="L14" i="3"/>
  <c r="L13" i="3"/>
  <c r="L22" i="3"/>
  <c r="L18" i="3"/>
  <c r="L17" i="3"/>
  <c r="L16" i="3"/>
  <c r="L15" i="3"/>
  <c r="L24" i="3"/>
  <c r="L12" i="3"/>
  <c r="L23" i="3"/>
  <c r="L11" i="3"/>
  <c r="L10" i="3"/>
  <c r="J22" i="3"/>
  <c r="S22" i="3" s="1"/>
  <c r="J21" i="3"/>
  <c r="S21" i="3" s="1"/>
  <c r="J20" i="3"/>
  <c r="S20" i="3" s="1"/>
  <c r="J16" i="3"/>
  <c r="S16" i="3" s="1"/>
  <c r="J19" i="3"/>
  <c r="S19" i="3" s="1"/>
  <c r="J18" i="3"/>
  <c r="S18" i="3" s="1"/>
  <c r="J17" i="3"/>
  <c r="S17" i="3" s="1"/>
  <c r="J15" i="3"/>
  <c r="S15" i="3" s="1"/>
  <c r="J14" i="3"/>
  <c r="S14" i="3" s="1"/>
  <c r="J13" i="3"/>
  <c r="S13" i="3" s="1"/>
  <c r="J24" i="3"/>
  <c r="S24" i="3" s="1"/>
  <c r="J12" i="3"/>
  <c r="S12" i="3" s="1"/>
  <c r="J23" i="3"/>
  <c r="S23" i="3" s="1"/>
  <c r="J11" i="3"/>
  <c r="S11" i="3" s="1"/>
  <c r="J10" i="3"/>
  <c r="S10" i="3" s="1"/>
  <c r="K16" i="3"/>
  <c r="K22" i="3"/>
  <c r="K21" i="3"/>
  <c r="K20" i="3"/>
  <c r="K19" i="3"/>
  <c r="K18" i="3"/>
  <c r="K17" i="3"/>
  <c r="K15" i="3"/>
  <c r="K14" i="3"/>
  <c r="K13" i="3"/>
  <c r="K24" i="3"/>
  <c r="K12" i="3"/>
  <c r="K23" i="3"/>
  <c r="K11" i="3"/>
  <c r="K10" i="3"/>
  <c r="E10" i="3"/>
  <c r="E16" i="3"/>
  <c r="X7" i="3"/>
  <c r="O18" i="3" l="1"/>
  <c r="W18" i="3" s="1"/>
  <c r="O19" i="3"/>
  <c r="W19" i="3" s="1"/>
  <c r="O20" i="3"/>
  <c r="W20" i="3" s="1"/>
  <c r="O16" i="3"/>
  <c r="W16" i="3" s="1"/>
  <c r="O22" i="3"/>
  <c r="W22" i="3" s="1"/>
  <c r="O11" i="3"/>
  <c r="W11" i="3" s="1"/>
  <c r="O21" i="3"/>
  <c r="W21" i="3" s="1"/>
  <c r="O23" i="3"/>
  <c r="W23" i="3" s="1"/>
  <c r="O12" i="3"/>
  <c r="W12" i="3" s="1"/>
  <c r="O15" i="3"/>
  <c r="W15" i="3" s="1"/>
  <c r="O24" i="3"/>
  <c r="W24" i="3" s="1"/>
  <c r="O13" i="3"/>
  <c r="W13" i="3" s="1"/>
  <c r="O14" i="3"/>
  <c r="W14" i="3" s="1"/>
  <c r="O17" i="3"/>
  <c r="W17" i="3" s="1"/>
  <c r="O10" i="3"/>
  <c r="W10" i="3" s="1"/>
  <c r="L7" i="3"/>
  <c r="K7" i="3"/>
  <c r="N7" i="3"/>
  <c r="T10" i="3" l="1"/>
  <c r="R13" i="3"/>
  <c r="T13" i="3"/>
  <c r="R24" i="3"/>
  <c r="T24" i="3"/>
  <c r="R12" i="3"/>
  <c r="T12" i="3"/>
  <c r="R21" i="3"/>
  <c r="T21" i="3"/>
  <c r="R22" i="3"/>
  <c r="T22" i="3"/>
  <c r="R17" i="3"/>
  <c r="T17" i="3"/>
  <c r="R19" i="3"/>
  <c r="T19" i="3"/>
  <c r="R15" i="3"/>
  <c r="T15" i="3"/>
  <c r="R23" i="3"/>
  <c r="T23" i="3"/>
  <c r="R11" i="3"/>
  <c r="T11" i="3"/>
  <c r="R16" i="3"/>
  <c r="T16" i="3"/>
  <c r="R20" i="3"/>
  <c r="T20" i="3"/>
  <c r="R14" i="3"/>
  <c r="T14" i="3"/>
  <c r="R18" i="3"/>
  <c r="T18" i="3"/>
  <c r="R10" i="3"/>
  <c r="P10" i="3"/>
  <c r="Q10" i="3" s="1"/>
  <c r="U10" i="3" s="1"/>
  <c r="V10" i="3" s="1"/>
  <c r="Y10" i="3" s="1"/>
  <c r="P12" i="3"/>
  <c r="Q12" i="3" s="1"/>
  <c r="U12" i="3" s="1"/>
  <c r="V12" i="3" s="1"/>
  <c r="Y12" i="3" s="1"/>
  <c r="P22" i="3"/>
  <c r="Q22" i="3" s="1"/>
  <c r="P13" i="3"/>
  <c r="Q13" i="3" s="1"/>
  <c r="U13" i="3" s="1"/>
  <c r="V13" i="3" s="1"/>
  <c r="Y13" i="3" s="1"/>
  <c r="P16" i="3"/>
  <c r="Q16" i="3" s="1"/>
  <c r="P15" i="3"/>
  <c r="Q15" i="3" s="1"/>
  <c r="P21" i="3"/>
  <c r="Q21" i="3" s="1"/>
  <c r="P20" i="3"/>
  <c r="Q20" i="3" s="1"/>
  <c r="P17" i="3"/>
  <c r="Q17" i="3" s="1"/>
  <c r="P19" i="3"/>
  <c r="Q19" i="3" s="1"/>
  <c r="U19" i="3" s="1"/>
  <c r="V19" i="3" s="1"/>
  <c r="Y19" i="3" s="1"/>
  <c r="P24" i="3"/>
  <c r="Q24" i="3" s="1"/>
  <c r="U24" i="3" s="1"/>
  <c r="V24" i="3" s="1"/>
  <c r="Y24" i="3" s="1"/>
  <c r="P23" i="3"/>
  <c r="Q23" i="3" s="1"/>
  <c r="U23" i="3" s="1"/>
  <c r="V23" i="3" s="1"/>
  <c r="Y23" i="3" s="1"/>
  <c r="P11" i="3"/>
  <c r="Q11" i="3" s="1"/>
  <c r="P14" i="3"/>
  <c r="Q14" i="3" s="1"/>
  <c r="U14" i="3" s="1"/>
  <c r="V14" i="3" s="1"/>
  <c r="Y14" i="3" s="1"/>
  <c r="P18" i="3"/>
  <c r="Q18" i="3" s="1"/>
  <c r="U18" i="3" s="1"/>
  <c r="V18" i="3" s="1"/>
  <c r="Y18" i="3" s="1"/>
  <c r="J7" i="3"/>
  <c r="U15" i="3" l="1"/>
  <c r="V15" i="3" s="1"/>
  <c r="Y15" i="3" s="1"/>
  <c r="U16" i="3"/>
  <c r="V16" i="3" s="1"/>
  <c r="Y16" i="3" s="1"/>
  <c r="U22" i="3"/>
  <c r="V22" i="3" s="1"/>
  <c r="Y22" i="3" s="1"/>
  <c r="U17" i="3"/>
  <c r="V17" i="3" s="1"/>
  <c r="Y17" i="3" s="1"/>
  <c r="U20" i="3"/>
  <c r="V20" i="3" s="1"/>
  <c r="Y20" i="3" s="1"/>
  <c r="U11" i="3"/>
  <c r="V11" i="3" s="1"/>
  <c r="Y11" i="3" s="1"/>
  <c r="U21" i="3"/>
  <c r="V21" i="3" s="1"/>
  <c r="Y21" i="3" s="1"/>
  <c r="C7" i="6"/>
  <c r="T7" i="3"/>
  <c r="R7" i="3"/>
  <c r="O7" i="3"/>
  <c r="S7" i="3"/>
  <c r="W7" i="3"/>
  <c r="P7" i="3" l="1"/>
  <c r="Q7" i="3"/>
  <c r="U7" i="3" l="1"/>
  <c r="Y7" i="3"/>
  <c r="V7" i="3"/>
</calcChain>
</file>

<file path=xl/sharedStrings.xml><?xml version="1.0" encoding="utf-8"?>
<sst xmlns="http://schemas.openxmlformats.org/spreadsheetml/2006/main" count="238" uniqueCount="170">
  <si>
    <t>Eil. Nr.</t>
  </si>
  <si>
    <t>Vadybininkas</t>
  </si>
  <si>
    <t>Administratorė</t>
  </si>
  <si>
    <t>Vadovas</t>
  </si>
  <si>
    <t>Garantinis fondas</t>
  </si>
  <si>
    <t>Pareigos</t>
  </si>
  <si>
    <t>Darbo užmokestis</t>
  </si>
  <si>
    <t>Darbuotojai</t>
  </si>
  <si>
    <t>Pavardė, vardas</t>
  </si>
  <si>
    <r>
      <t xml:space="preserve">Valandinis tarifinis atlygis, </t>
    </r>
    <r>
      <rPr>
        <sz val="11"/>
        <color theme="1"/>
        <rFont val="Tahoma"/>
        <family val="2"/>
      </rPr>
      <t>€</t>
    </r>
  </si>
  <si>
    <r>
      <t xml:space="preserve">Avansas, </t>
    </r>
    <r>
      <rPr>
        <sz val="11"/>
        <color theme="1"/>
        <rFont val="Tahoma"/>
        <family val="2"/>
      </rPr>
      <t>€</t>
    </r>
  </si>
  <si>
    <t>Asmens kodas</t>
  </si>
  <si>
    <t>Tel. Nr.</t>
  </si>
  <si>
    <t>Adresas</t>
  </si>
  <si>
    <t>Registras</t>
  </si>
  <si>
    <t>Op. Nr.</t>
  </si>
  <si>
    <t>Skaičiavimo data</t>
  </si>
  <si>
    <r>
      <t xml:space="preserve">Pareiginis atlyginimas, </t>
    </r>
    <r>
      <rPr>
        <sz val="11"/>
        <color theme="1"/>
        <rFont val="Tahoma"/>
        <family val="2"/>
      </rPr>
      <t>€</t>
    </r>
  </si>
  <si>
    <t xml:space="preserve">Nustatytas darbo dienų skaičius </t>
  </si>
  <si>
    <t>Faktiškai dirbta, d.</t>
  </si>
  <si>
    <t>Faktiškai dirbta, val.</t>
  </si>
  <si>
    <r>
      <t xml:space="preserve">Atlyginimas, </t>
    </r>
    <r>
      <rPr>
        <sz val="11"/>
        <color theme="1"/>
        <rFont val="Tahoma"/>
        <family val="2"/>
      </rPr>
      <t>€</t>
    </r>
  </si>
  <si>
    <r>
      <t xml:space="preserve">Mėnesinė priemoka, </t>
    </r>
    <r>
      <rPr>
        <sz val="11"/>
        <color theme="1"/>
        <rFont val="Tahoma"/>
        <family val="2"/>
      </rPr>
      <t>€</t>
    </r>
  </si>
  <si>
    <t>Eilinės atostogos,  €</t>
  </si>
  <si>
    <t>Kompensacija už nepanaudotas atostogas,  €</t>
  </si>
  <si>
    <t>Nedarbingumo pašalpa darbdavio lėšomis,  €</t>
  </si>
  <si>
    <t>Priskaičiuota iš viso,  €</t>
  </si>
  <si>
    <r>
      <t xml:space="preserve">pritaikytas NPD, </t>
    </r>
    <r>
      <rPr>
        <sz val="11"/>
        <color theme="1"/>
        <rFont val="Tahoma"/>
        <family val="2"/>
      </rPr>
      <t>€</t>
    </r>
  </si>
  <si>
    <t>Išskaičiuota iš viso, €</t>
  </si>
  <si>
    <t>Išmokėtina suma, €</t>
  </si>
  <si>
    <t>Darbdavio VSD įmokos, €</t>
  </si>
  <si>
    <t>Avansas, €</t>
  </si>
  <si>
    <t>Išmokėtina suma po avanso, €</t>
  </si>
  <si>
    <t>Savarankiško darbo užduotis:</t>
  </si>
  <si>
    <t>Darbalapis "Darbuotojai"</t>
  </si>
  <si>
    <t>Stulpelio pavadinimas</t>
  </si>
  <si>
    <t>Užduotis</t>
  </si>
  <si>
    <t>Sukurkite seką</t>
  </si>
  <si>
    <t>Sukurkite seką "Darbuotojas1" ir t.t.</t>
  </si>
  <si>
    <t>Pareigybė</t>
  </si>
  <si>
    <t>Buhalterė</t>
  </si>
  <si>
    <t>Sandėlininkas</t>
  </si>
  <si>
    <t xml:space="preserve">Darbuotojų skaičius </t>
  </si>
  <si>
    <t>Gamybos darbuotojas</t>
  </si>
  <si>
    <t>Sudarykite  sąrašą ir parinkite vieną iš pateiktų pareigybių kiekvienam darbuotojui. Pareigybių skaičius duotas "Pareigybės" lape</t>
  </si>
  <si>
    <t>VSD darbuotojo</t>
  </si>
  <si>
    <t>VSD darbdavio</t>
  </si>
  <si>
    <t xml:space="preserve">Papildomas pensijinis kaupimas </t>
  </si>
  <si>
    <t>Apskaičiuokite iš pareiginio atlyginimo imdami vidutinį mėnesio darbo dienų skaičių 22</t>
  </si>
  <si>
    <t>x</t>
  </si>
  <si>
    <t>nepildyti</t>
  </si>
  <si>
    <t>sugalvokite patys</t>
  </si>
  <si>
    <t>Darbalapis "Darbo užmokestis"</t>
  </si>
  <si>
    <t>nukopijuokite darbuotojus iš darbuotojų lapo</t>
  </si>
  <si>
    <t>Parinkite kiekvienam darbuotojui pareiginį atlyginimą pagal pareigas</t>
  </si>
  <si>
    <t>Parinkite kiekvienam darbuotojui pareiginį atlyginimą iš darbuotojų lapo</t>
  </si>
  <si>
    <t>Parinkite kiekvienam darbuotojui pareiginį valandinį atlyginimą iš darbuotojų lapo</t>
  </si>
  <si>
    <t>Išmokama = priskaičiuota - išskaičiuota</t>
  </si>
  <si>
    <t>visa išskaičiuota suma mokesčiams</t>
  </si>
  <si>
    <t>Parinkite iš darbuotojų lapo</t>
  </si>
  <si>
    <t>Išmokama suma atėmus avansą</t>
  </si>
  <si>
    <t>parinkite atsitiktiniu būdu nuo 15 iki mėnesio darbo dienų skaičiaus</t>
  </si>
  <si>
    <t>dienos * 8 val.</t>
  </si>
  <si>
    <t>atlyginimas priskaičiuotas už dirbtas dienas</t>
  </si>
  <si>
    <t>Skirkite mėnesinę priemoką 50 eurų, jei dirbo visas darbo dienas</t>
  </si>
  <si>
    <t>Jei darbuotojas nedirbo daugiau nei 4 dienas, tada jis tas dienas buvo atostogose. Paskaičiuokite už tas dienas atostoginius</t>
  </si>
  <si>
    <t>Visos priskaičiuotos sumos</t>
  </si>
  <si>
    <t>Nedarbingumo pašalpa</t>
  </si>
  <si>
    <t>0,2% nuo visiems darbuotojams priskaičiuotų atlyginimų</t>
  </si>
  <si>
    <t>apskaičiuokite darbo dienų skaičių su funkcija Networkdays(). Nepamirškite švenčių dienų.</t>
  </si>
  <si>
    <t>Jei darbuotojas nedirbo  4 ar mažiau dienų, tada jis sirgo. Paskaičiuokite už tas 1-2 dienas darbdavio mokamą atlyginimą</t>
  </si>
  <si>
    <t>UAB "Jaunystė"</t>
  </si>
  <si>
    <t>Įmonės kodas 1222555888</t>
  </si>
  <si>
    <t>Darbo užmokesčio registras</t>
  </si>
  <si>
    <t>mėnuo</t>
  </si>
  <si>
    <t>A5</t>
  </si>
  <si>
    <t>Įmoka</t>
  </si>
  <si>
    <t>Iš viso:</t>
  </si>
  <si>
    <t xml:space="preserve">5 eilutėje </t>
  </si>
  <si>
    <t>suskaičiuokite stulpelių sumas</t>
  </si>
  <si>
    <t>Išrikiuokite duomenis pagal pareiginį atlyginimą mažėjančia tvarka</t>
  </si>
  <si>
    <t>Sukurkite skritulinę  diagramą, kurioje pateikite darbuotojas1 sumokamus mokesčius ir išmokamą sumą</t>
  </si>
  <si>
    <t>Sukurkite stulpelinę diagramą, kurioje pateikite darbuotojus ir jiems išmokamas sumas, uždėkite etiketes, ašių pavadinimus, stulpelių spalva - oranžinė</t>
  </si>
  <si>
    <t>Pastabos</t>
  </si>
  <si>
    <t>sąrašas</t>
  </si>
  <si>
    <t>concatenate()</t>
  </si>
  <si>
    <t>choose()</t>
  </si>
  <si>
    <t>vlookup()</t>
  </si>
  <si>
    <t>randbetween()</t>
  </si>
  <si>
    <t>atlyginimas*fakt.dirbtų d./d.d.skaičius</t>
  </si>
  <si>
    <t>IF</t>
  </si>
  <si>
    <t>Formatuokite lentelę</t>
  </si>
  <si>
    <t>koeficientams suteikite vardus</t>
  </si>
  <si>
    <t>Avansą parinkite atsitiktiniu būdu  150 arba 200 eurų</t>
  </si>
  <si>
    <t>sujunkite "+370 6" ir 7 atsitiktiniai skaičiai</t>
  </si>
  <si>
    <r>
      <t xml:space="preserve">VSD  ir PSD įmokos, </t>
    </r>
    <r>
      <rPr>
        <sz val="11"/>
        <color theme="1"/>
        <rFont val="Tahoma"/>
        <family val="2"/>
      </rPr>
      <t>€</t>
    </r>
  </si>
  <si>
    <t>PSD</t>
  </si>
  <si>
    <t>Ilgalaikio darbo išmokų fondo įmoka</t>
  </si>
  <si>
    <t>Soc. draudimo įmokos nelaimingų atsitikimų draudimui</t>
  </si>
  <si>
    <t>VSD įmoka, €</t>
  </si>
  <si>
    <t>PSD įmoka,  €</t>
  </si>
  <si>
    <t>Pareiginis atlyginimas, €</t>
  </si>
  <si>
    <t>Valandinis tarifinis atlygis, €</t>
  </si>
  <si>
    <t>Atlyginimas, €</t>
  </si>
  <si>
    <t>Mėnesinė priemoka, €</t>
  </si>
  <si>
    <t>pritaikytas NPD, €</t>
  </si>
  <si>
    <t>S1, S2</t>
  </si>
  <si>
    <t>Vidutinė avanso suma</t>
  </si>
  <si>
    <t>Pritaikyto NPD mediana</t>
  </si>
  <si>
    <t>Keli darbuotojai dirbo 18 ir daugiau dienų</t>
  </si>
  <si>
    <t>2 didžiausia GPM reikšmė</t>
  </si>
  <si>
    <t>GPM, €</t>
  </si>
  <si>
    <t>GPM1</t>
  </si>
  <si>
    <t>GPM2</t>
  </si>
  <si>
    <r>
      <t xml:space="preserve">GPM, </t>
    </r>
    <r>
      <rPr>
        <sz val="11"/>
        <color theme="1"/>
        <rFont val="Tahoma"/>
        <family val="2"/>
      </rPr>
      <t>€</t>
    </r>
  </si>
  <si>
    <t>Įrašykite kovo mėnesį</t>
  </si>
  <si>
    <t>GMP=(Priskaičiuota - NPD)*20%</t>
  </si>
  <si>
    <t>VSD (1,77%) * priskaičiuota</t>
  </si>
  <si>
    <t>3% nuo priskaičiuoto atlygio</t>
  </si>
  <si>
    <t>Darbuotojų, kurių valandinis įkainis mažiau nei 8 eurai,   sumokamų VSD  vidurkis</t>
  </si>
  <si>
    <t>Darbuotojų, kurie dirbo mažiau nei 18 dienų, išmokamų atlyginimų suma</t>
  </si>
  <si>
    <t>Apskaičiuokite S1 ir S2 langelių reikšmes nuo visų darbuotojų atlyginimo.</t>
  </si>
  <si>
    <t>tarkime, kad darote registrą kovo mėnesiui, tada rašykite visur 03</t>
  </si>
  <si>
    <t>eomonth()</t>
  </si>
  <si>
    <t>14,29% nuo priskaičiuoto atlygio atėmus nedarbingumo pašalpos sumą, PSD - 6,98%</t>
  </si>
  <si>
    <t>Sąlyginiu formatavimu išskirkite 5 mažiausias išmokėtinas sumas</t>
  </si>
  <si>
    <t>Pasirinkite šių metų kovo datą formatas: 2022/kov/31</t>
  </si>
  <si>
    <t>Neapmokestinamo minimumo skaičiavimas:</t>
  </si>
  <si>
    <t>1)</t>
  </si>
  <si>
    <t>NPD max - 460 Eur. Taikomas pajamoms iki 730 Eur.</t>
  </si>
  <si>
    <t>2)</t>
  </si>
  <si>
    <t>NPD = 460 – 0,26* (gyventojo mėnesio su darbo santykiais arba jų esmę atitinkančiais santykiais susijusios pajamos – 730)</t>
  </si>
  <si>
    <t>jei Du&lt;1678</t>
  </si>
  <si>
    <t>3)</t>
  </si>
  <si>
    <t>NPD = 400 – 0,18* (gyventojo mėnesio su darbo santykiais arba jų esmę atitinkančiais santykiais susijusios pajamos – 642)</t>
  </si>
  <si>
    <t>jei Du&gt;1678</t>
  </si>
  <si>
    <t>4)</t>
  </si>
  <si>
    <t>Jei neigiamas tai rašome 0</t>
  </si>
  <si>
    <t>paskaičiuokite pagal dešinėje duotas formules</t>
  </si>
  <si>
    <t xml:space="preserve">Jaunystės 1 </t>
  </si>
  <si>
    <t>Jaunystės 2</t>
  </si>
  <si>
    <t>Jaunystės 3</t>
  </si>
  <si>
    <t>Jaunystės 4</t>
  </si>
  <si>
    <t>Jaunystės 5</t>
  </si>
  <si>
    <t>Jaunystės 6</t>
  </si>
  <si>
    <t>Jaunystės 7</t>
  </si>
  <si>
    <t>Jaunystės 8</t>
  </si>
  <si>
    <t>Jaunystės 9</t>
  </si>
  <si>
    <t>Jaunystės 10</t>
  </si>
  <si>
    <t>Jaunystės 11</t>
  </si>
  <si>
    <t>Jaunystės 12</t>
  </si>
  <si>
    <t>Jaunystės 13</t>
  </si>
  <si>
    <t>Jaunystės 14</t>
  </si>
  <si>
    <t>Jaunystės 15</t>
  </si>
  <si>
    <t>darbo užmokestis</t>
  </si>
  <si>
    <t>Darbuotojas1</t>
  </si>
  <si>
    <t>Darbuotojas2</t>
  </si>
  <si>
    <t>Darbuotojas3</t>
  </si>
  <si>
    <t>Darbuotojas4</t>
  </si>
  <si>
    <t>Darbuotojas5</t>
  </si>
  <si>
    <t>Darbuotojas6</t>
  </si>
  <si>
    <t>Darbuotojas7</t>
  </si>
  <si>
    <t>Darbuotojas8</t>
  </si>
  <si>
    <t>Darbuotojas9</t>
  </si>
  <si>
    <t>Darbuotojas10</t>
  </si>
  <si>
    <t>Darbuotojas11</t>
  </si>
  <si>
    <t>Darbuotojas12</t>
  </si>
  <si>
    <t>Darbuotojas13</t>
  </si>
  <si>
    <t>Darbuotojas14</t>
  </si>
  <si>
    <t>Darbuotojas15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</si>
</sst>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%"/>
    <numFmt numFmtId="165" formatCode="yyyy\/mmm\/dd"/>
  </numFmts>
  <fonts count="14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name val="Arial"/>
      <family val="2"/>
      <charset val="186"/>
    </font>
    <font>
      <sz val="11"/>
      <color rgb="FF00000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name val="Calibri"/>
      <family val="2"/>
      <charset val="186"/>
      <scheme val="minor"/>
    </font>
    <font>
      <b/>
      <sz val="12"/>
      <color theme="1"/>
      <name val="Times New Roman"/>
      <family val="1"/>
    </font>
    <font>
      <sz val="12"/>
      <color rgb="FFFF0000"/>
      <name val="Times New Roman"/>
      <family val="2"/>
      <charset val="186"/>
    </font>
    <font>
      <sz val="8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4" fontId="5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6" fillId="0" borderId="0" xfId="0" applyFont="1"/>
    <xf numFmtId="2" fontId="0" fillId="0" borderId="0" xfId="1" applyNumberFormat="1" applyFont="1" applyAlignment="1">
      <alignment horizontal="left"/>
    </xf>
    <xf numFmtId="0" fontId="7" fillId="0" borderId="0" xfId="0" applyFont="1"/>
    <xf numFmtId="0" fontId="0" fillId="2" borderId="0" xfId="0" applyFill="1"/>
    <xf numFmtId="0" fontId="0" fillId="0" borderId="0" xfId="0" applyAlignment="1">
      <alignment vertical="top"/>
    </xf>
    <xf numFmtId="0" fontId="8" fillId="0" borderId="0" xfId="0" applyFont="1"/>
    <xf numFmtId="0" fontId="8" fillId="0" borderId="0" xfId="0" applyFont="1" applyAlignment="1">
      <alignment horizontal="right"/>
    </xf>
    <xf numFmtId="9" fontId="8" fillId="0" borderId="1" xfId="2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10" fontId="8" fillId="0" borderId="1" xfId="0" applyNumberFormat="1" applyFont="1" applyBorder="1"/>
    <xf numFmtId="10" fontId="8" fillId="0" borderId="1" xfId="2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9" fillId="0" borderId="2" xfId="2" applyNumberFormat="1" applyFont="1" applyBorder="1"/>
    <xf numFmtId="0" fontId="10" fillId="0" borderId="1" xfId="0" applyFont="1" applyBorder="1" applyAlignment="1">
      <alignment wrapText="1"/>
    </xf>
    <xf numFmtId="0" fontId="11" fillId="0" borderId="0" xfId="0" applyFont="1"/>
    <xf numFmtId="0" fontId="0" fillId="0" borderId="0" xfId="0" applyAlignment="1">
      <alignment horizontal="right"/>
    </xf>
    <xf numFmtId="0" fontId="12" fillId="0" borderId="0" xfId="0" applyFont="1"/>
    <xf numFmtId="2" fontId="0" fillId="0" borderId="0" xfId="0" applyNumberFormat="1"/>
    <xf numFmtId="2" fontId="0" fillId="0" borderId="1" xfId="0" applyNumberFormat="1" applyBorder="1"/>
    <xf numFmtId="0" fontId="8" fillId="0" borderId="1" xfId="0" applyFont="1" applyBorder="1" applyAlignment="1">
      <alignment horizontal="center"/>
    </xf>
    <xf numFmtId="2" fontId="9" fillId="0" borderId="1" xfId="2" applyNumberFormat="1" applyFont="1" applyBorder="1"/>
    <xf numFmtId="2" fontId="8" fillId="0" borderId="1" xfId="0" applyNumberFormat="1" applyFont="1" applyBorder="1"/>
    <xf numFmtId="165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wrapText="1"/>
    </xf>
  </cellXfs>
  <cellStyles count="3">
    <cellStyle name="Įprastas" xfId="0" builtinId="0"/>
    <cellStyle name="Procentai" xfId="2" builtinId="5"/>
    <cellStyle name="Valiuta" xfId="1" builtinId="4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opLeftCell="A23" workbookViewId="0">
      <selection activeCell="C40" sqref="C40"/>
    </sheetView>
  </sheetViews>
  <sheetFormatPr defaultRowHeight="15" x14ac:dyDescent="0.25"/>
  <cols>
    <col min="1" max="1" width="4.85546875" customWidth="1"/>
    <col min="2" max="2" width="34.5703125" customWidth="1"/>
    <col min="3" max="3" width="115.7109375" customWidth="1"/>
    <col min="4" max="4" width="16.140625" customWidth="1"/>
  </cols>
  <sheetData>
    <row r="1" spans="1:4" ht="18.75" x14ac:dyDescent="0.3">
      <c r="A1" s="3" t="s">
        <v>33</v>
      </c>
    </row>
    <row r="3" spans="1:4" x14ac:dyDescent="0.25">
      <c r="A3" s="2" t="s">
        <v>34</v>
      </c>
    </row>
    <row r="4" spans="1:4" x14ac:dyDescent="0.25">
      <c r="B4" s="17" t="s">
        <v>35</v>
      </c>
      <c r="C4" s="17" t="s">
        <v>36</v>
      </c>
      <c r="D4" s="17" t="s">
        <v>83</v>
      </c>
    </row>
    <row r="5" spans="1:4" ht="15" customHeight="1" x14ac:dyDescent="0.25">
      <c r="A5">
        <v>1</v>
      </c>
      <c r="B5" s="8" t="s">
        <v>0</v>
      </c>
      <c r="C5" t="s">
        <v>37</v>
      </c>
    </row>
    <row r="6" spans="1:4" ht="15" customHeight="1" x14ac:dyDescent="0.25">
      <c r="A6">
        <v>2</v>
      </c>
      <c r="B6" s="8" t="s">
        <v>8</v>
      </c>
      <c r="C6" t="s">
        <v>38</v>
      </c>
    </row>
    <row r="7" spans="1:4" ht="15" customHeight="1" x14ac:dyDescent="0.25">
      <c r="A7">
        <v>3</v>
      </c>
      <c r="B7" s="8" t="s">
        <v>5</v>
      </c>
      <c r="C7" t="s">
        <v>44</v>
      </c>
      <c r="D7" t="s">
        <v>84</v>
      </c>
    </row>
    <row r="8" spans="1:4" ht="15" customHeight="1" x14ac:dyDescent="0.25">
      <c r="A8">
        <v>4</v>
      </c>
      <c r="B8" s="8" t="s">
        <v>17</v>
      </c>
      <c r="C8" t="s">
        <v>54</v>
      </c>
      <c r="D8" t="s">
        <v>87</v>
      </c>
    </row>
    <row r="9" spans="1:4" ht="15" customHeight="1" x14ac:dyDescent="0.25">
      <c r="A9">
        <v>5</v>
      </c>
      <c r="B9" s="8" t="s">
        <v>9</v>
      </c>
      <c r="C9" t="s">
        <v>48</v>
      </c>
    </row>
    <row r="10" spans="1:4" ht="15" customHeight="1" x14ac:dyDescent="0.25">
      <c r="A10">
        <v>6</v>
      </c>
      <c r="B10" s="8" t="s">
        <v>10</v>
      </c>
      <c r="C10" t="s">
        <v>93</v>
      </c>
      <c r="D10" t="s">
        <v>86</v>
      </c>
    </row>
    <row r="11" spans="1:4" ht="15" customHeight="1" x14ac:dyDescent="0.25">
      <c r="A11">
        <v>7</v>
      </c>
      <c r="B11" s="8" t="s">
        <v>11</v>
      </c>
      <c r="C11" t="s">
        <v>50</v>
      </c>
    </row>
    <row r="12" spans="1:4" ht="15" customHeight="1" x14ac:dyDescent="0.25">
      <c r="A12">
        <v>8</v>
      </c>
      <c r="B12" s="8" t="s">
        <v>12</v>
      </c>
      <c r="C12" t="s">
        <v>94</v>
      </c>
      <c r="D12" t="s">
        <v>85</v>
      </c>
    </row>
    <row r="13" spans="1:4" ht="15" customHeight="1" x14ac:dyDescent="0.25">
      <c r="A13">
        <v>9</v>
      </c>
      <c r="B13" s="8" t="s">
        <v>13</v>
      </c>
      <c r="C13" t="s">
        <v>51</v>
      </c>
    </row>
    <row r="14" spans="1:4" ht="15" customHeight="1" x14ac:dyDescent="0.25"/>
    <row r="16" spans="1:4" x14ac:dyDescent="0.25">
      <c r="A16" s="2" t="s">
        <v>52</v>
      </c>
    </row>
    <row r="17" spans="1:4" x14ac:dyDescent="0.25">
      <c r="B17" t="s">
        <v>35</v>
      </c>
      <c r="C17" t="s">
        <v>36</v>
      </c>
    </row>
    <row r="18" spans="1:4" x14ac:dyDescent="0.25">
      <c r="A18">
        <v>1</v>
      </c>
      <c r="B18" s="10" t="s">
        <v>75</v>
      </c>
      <c r="C18" t="s">
        <v>115</v>
      </c>
    </row>
    <row r="19" spans="1:4" x14ac:dyDescent="0.25">
      <c r="A19">
        <v>2</v>
      </c>
      <c r="B19" s="8" t="s">
        <v>14</v>
      </c>
      <c r="C19" t="s">
        <v>6</v>
      </c>
    </row>
    <row r="20" spans="1:4" x14ac:dyDescent="0.25">
      <c r="A20">
        <v>3</v>
      </c>
      <c r="B20" s="8" t="s">
        <v>15</v>
      </c>
      <c r="C20" t="s">
        <v>122</v>
      </c>
    </row>
    <row r="21" spans="1:4" x14ac:dyDescent="0.25">
      <c r="A21">
        <v>4</v>
      </c>
      <c r="B21" s="8" t="s">
        <v>16</v>
      </c>
      <c r="C21" t="s">
        <v>126</v>
      </c>
      <c r="D21" t="s">
        <v>123</v>
      </c>
    </row>
    <row r="22" spans="1:4" x14ac:dyDescent="0.25">
      <c r="A22">
        <v>5</v>
      </c>
      <c r="B22" s="8" t="s">
        <v>8</v>
      </c>
      <c r="C22" t="s">
        <v>53</v>
      </c>
    </row>
    <row r="23" spans="1:4" ht="17.25" customHeight="1" x14ac:dyDescent="0.25">
      <c r="A23">
        <v>6</v>
      </c>
      <c r="B23" s="8" t="s">
        <v>17</v>
      </c>
      <c r="C23" t="s">
        <v>55</v>
      </c>
      <c r="D23" t="s">
        <v>87</v>
      </c>
    </row>
    <row r="24" spans="1:4" ht="16.5" customHeight="1" x14ac:dyDescent="0.25">
      <c r="A24">
        <v>7</v>
      </c>
      <c r="B24" s="8" t="s">
        <v>9</v>
      </c>
      <c r="C24" t="s">
        <v>56</v>
      </c>
      <c r="D24" t="s">
        <v>87</v>
      </c>
    </row>
    <row r="25" spans="1:4" x14ac:dyDescent="0.25">
      <c r="A25">
        <v>8</v>
      </c>
      <c r="B25" s="8" t="s">
        <v>18</v>
      </c>
      <c r="C25" t="s">
        <v>69</v>
      </c>
    </row>
    <row r="26" spans="1:4" x14ac:dyDescent="0.25">
      <c r="A26">
        <v>9</v>
      </c>
      <c r="B26" s="8" t="s">
        <v>19</v>
      </c>
      <c r="C26" t="s">
        <v>61</v>
      </c>
      <c r="D26" t="s">
        <v>88</v>
      </c>
    </row>
    <row r="27" spans="1:4" x14ac:dyDescent="0.25">
      <c r="A27">
        <v>10</v>
      </c>
      <c r="B27" s="8" t="s">
        <v>20</v>
      </c>
      <c r="C27" t="s">
        <v>62</v>
      </c>
    </row>
    <row r="28" spans="1:4" x14ac:dyDescent="0.25">
      <c r="A28">
        <v>11</v>
      </c>
      <c r="B28" s="8" t="s">
        <v>21</v>
      </c>
      <c r="C28" t="s">
        <v>63</v>
      </c>
      <c r="D28" t="s">
        <v>89</v>
      </c>
    </row>
    <row r="29" spans="1:4" x14ac:dyDescent="0.25">
      <c r="A29">
        <v>12</v>
      </c>
      <c r="B29" s="8" t="s">
        <v>22</v>
      </c>
      <c r="C29" t="s">
        <v>64</v>
      </c>
      <c r="D29" t="s">
        <v>90</v>
      </c>
    </row>
    <row r="30" spans="1:4" ht="16.5" customHeight="1" x14ac:dyDescent="0.25">
      <c r="A30">
        <v>13</v>
      </c>
      <c r="B30" s="8" t="s">
        <v>23</v>
      </c>
      <c r="C30" t="s">
        <v>65</v>
      </c>
      <c r="D30" t="s">
        <v>90</v>
      </c>
    </row>
    <row r="31" spans="1:4" ht="30" x14ac:dyDescent="0.25">
      <c r="A31">
        <v>14</v>
      </c>
      <c r="B31" s="8" t="s">
        <v>24</v>
      </c>
      <c r="C31" s="15">
        <v>0</v>
      </c>
    </row>
    <row r="32" spans="1:4" ht="30" x14ac:dyDescent="0.25">
      <c r="A32">
        <v>15</v>
      </c>
      <c r="B32" s="8" t="s">
        <v>25</v>
      </c>
      <c r="C32" t="s">
        <v>70</v>
      </c>
      <c r="D32" t="s">
        <v>90</v>
      </c>
    </row>
    <row r="33" spans="1:18" x14ac:dyDescent="0.25">
      <c r="A33">
        <v>16</v>
      </c>
      <c r="B33" s="8" t="s">
        <v>26</v>
      </c>
      <c r="C33" t="s">
        <v>66</v>
      </c>
    </row>
    <row r="34" spans="1:18" ht="16.5" customHeight="1" x14ac:dyDescent="0.25">
      <c r="A34">
        <v>17</v>
      </c>
      <c r="B34" s="8" t="s">
        <v>27</v>
      </c>
      <c r="C34" s="5" t="s">
        <v>138</v>
      </c>
      <c r="D34" s="18"/>
      <c r="H34" s="30" t="s">
        <v>127</v>
      </c>
    </row>
    <row r="35" spans="1:18" ht="15.75" x14ac:dyDescent="0.25">
      <c r="A35">
        <v>18</v>
      </c>
      <c r="B35" s="8" t="s">
        <v>114</v>
      </c>
      <c r="C35" t="s">
        <v>116</v>
      </c>
      <c r="D35" t="s">
        <v>92</v>
      </c>
      <c r="G35" s="31" t="s">
        <v>128</v>
      </c>
      <c r="H35" t="s">
        <v>129</v>
      </c>
      <c r="M35" s="32"/>
    </row>
    <row r="36" spans="1:18" ht="17.25" customHeight="1" x14ac:dyDescent="0.25">
      <c r="A36">
        <v>19</v>
      </c>
      <c r="B36" s="8" t="s">
        <v>95</v>
      </c>
      <c r="C36" t="s">
        <v>124</v>
      </c>
      <c r="G36" s="31" t="s">
        <v>130</v>
      </c>
      <c r="H36" t="s">
        <v>131</v>
      </c>
      <c r="R36" t="s">
        <v>132</v>
      </c>
    </row>
    <row r="37" spans="1:18" x14ac:dyDescent="0.25">
      <c r="A37">
        <v>20</v>
      </c>
      <c r="B37" s="8" t="s">
        <v>47</v>
      </c>
      <c r="C37" t="s">
        <v>118</v>
      </c>
      <c r="G37" s="31" t="s">
        <v>133</v>
      </c>
      <c r="H37" t="s">
        <v>134</v>
      </c>
      <c r="R37" t="s">
        <v>135</v>
      </c>
    </row>
    <row r="38" spans="1:18" x14ac:dyDescent="0.25">
      <c r="A38">
        <v>21</v>
      </c>
      <c r="B38" s="8" t="s">
        <v>28</v>
      </c>
      <c r="C38" t="s">
        <v>58</v>
      </c>
      <c r="G38" s="31" t="s">
        <v>136</v>
      </c>
      <c r="H38" t="s">
        <v>137</v>
      </c>
    </row>
    <row r="39" spans="1:18" x14ac:dyDescent="0.25">
      <c r="A39">
        <v>22</v>
      </c>
      <c r="B39" s="8" t="s">
        <v>29</v>
      </c>
      <c r="C39" t="s">
        <v>57</v>
      </c>
    </row>
    <row r="40" spans="1:18" x14ac:dyDescent="0.25">
      <c r="A40">
        <v>23</v>
      </c>
      <c r="B40" s="8" t="s">
        <v>30</v>
      </c>
      <c r="C40" t="s">
        <v>117</v>
      </c>
    </row>
    <row r="41" spans="1:18" ht="15.75" customHeight="1" x14ac:dyDescent="0.25">
      <c r="A41">
        <v>24</v>
      </c>
      <c r="B41" s="8" t="s">
        <v>31</v>
      </c>
      <c r="C41" t="s">
        <v>59</v>
      </c>
      <c r="D41" t="s">
        <v>87</v>
      </c>
    </row>
    <row r="42" spans="1:18" x14ac:dyDescent="0.25">
      <c r="A42">
        <v>25</v>
      </c>
      <c r="B42" s="8" t="s">
        <v>32</v>
      </c>
      <c r="C42" t="s">
        <v>60</v>
      </c>
    </row>
    <row r="43" spans="1:18" x14ac:dyDescent="0.25">
      <c r="A43">
        <v>26</v>
      </c>
      <c r="B43" s="8" t="s">
        <v>4</v>
      </c>
      <c r="C43" t="s">
        <v>68</v>
      </c>
    </row>
    <row r="44" spans="1:18" x14ac:dyDescent="0.25">
      <c r="A44">
        <v>27</v>
      </c>
      <c r="B44" s="8" t="s">
        <v>106</v>
      </c>
      <c r="C44" t="s">
        <v>121</v>
      </c>
    </row>
    <row r="45" spans="1:18" x14ac:dyDescent="0.25">
      <c r="A45">
        <v>28</v>
      </c>
      <c r="B45" s="8" t="s">
        <v>78</v>
      </c>
      <c r="C45" t="s">
        <v>79</v>
      </c>
    </row>
    <row r="47" spans="1:18" ht="16.5" customHeight="1" x14ac:dyDescent="0.25">
      <c r="A47">
        <v>28</v>
      </c>
      <c r="B47" s="40" t="s">
        <v>80</v>
      </c>
      <c r="C47" s="40"/>
    </row>
    <row r="48" spans="1:18" ht="15" customHeight="1" x14ac:dyDescent="0.25">
      <c r="A48">
        <v>29</v>
      </c>
      <c r="B48" s="41" t="s">
        <v>125</v>
      </c>
      <c r="C48" s="41"/>
    </row>
    <row r="49" spans="1:2" x14ac:dyDescent="0.25">
      <c r="A49">
        <v>30</v>
      </c>
      <c r="B49" t="s">
        <v>82</v>
      </c>
    </row>
    <row r="50" spans="1:2" x14ac:dyDescent="0.25">
      <c r="A50">
        <v>31</v>
      </c>
      <c r="B50" t="s">
        <v>81</v>
      </c>
    </row>
    <row r="51" spans="1:2" x14ac:dyDescent="0.25">
      <c r="A51">
        <v>32</v>
      </c>
      <c r="B51" t="s">
        <v>91</v>
      </c>
    </row>
  </sheetData>
  <mergeCells count="2">
    <mergeCell ref="B47:C47"/>
    <mergeCell ref="B48:C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0"/>
  <sheetViews>
    <sheetView workbookViewId="0">
      <selection activeCell="B9" sqref="B9"/>
    </sheetView>
  </sheetViews>
  <sheetFormatPr defaultRowHeight="15" x14ac:dyDescent="0.25"/>
  <cols>
    <col min="1" max="1" width="4.5703125" customWidth="1"/>
    <col min="2" max="2" width="20.85546875" customWidth="1"/>
    <col min="3" max="3" width="15.5703125" customWidth="1"/>
    <col min="4" max="4" width="11.7109375" customWidth="1"/>
  </cols>
  <sheetData>
    <row r="3" spans="1:4" s="5" customFormat="1" ht="31.5" customHeight="1" x14ac:dyDescent="0.25">
      <c r="A3" s="9" t="s">
        <v>0</v>
      </c>
      <c r="B3" s="8" t="s">
        <v>39</v>
      </c>
      <c r="C3" s="8" t="s">
        <v>17</v>
      </c>
      <c r="D3" s="11" t="s">
        <v>42</v>
      </c>
    </row>
    <row r="4" spans="1:4" x14ac:dyDescent="0.25">
      <c r="A4" s="10">
        <v>1</v>
      </c>
      <c r="B4" s="1" t="s">
        <v>3</v>
      </c>
      <c r="C4" s="10">
        <v>2800</v>
      </c>
      <c r="D4" s="10">
        <v>1</v>
      </c>
    </row>
    <row r="5" spans="1:4" x14ac:dyDescent="0.25">
      <c r="A5" s="10">
        <v>2</v>
      </c>
      <c r="B5" s="1" t="s">
        <v>40</v>
      </c>
      <c r="C5" s="10">
        <v>1600</v>
      </c>
      <c r="D5" s="10">
        <v>2</v>
      </c>
    </row>
    <row r="6" spans="1:4" x14ac:dyDescent="0.25">
      <c r="A6" s="10">
        <v>3</v>
      </c>
      <c r="B6" s="1" t="s">
        <v>2</v>
      </c>
      <c r="C6" s="10">
        <v>1505</v>
      </c>
      <c r="D6" s="10">
        <v>1</v>
      </c>
    </row>
    <row r="7" spans="1:4" x14ac:dyDescent="0.25">
      <c r="A7" s="10">
        <v>4</v>
      </c>
      <c r="B7" s="1" t="s">
        <v>1</v>
      </c>
      <c r="C7" s="10">
        <v>1199</v>
      </c>
      <c r="D7" s="10">
        <v>2</v>
      </c>
    </row>
    <row r="8" spans="1:4" x14ac:dyDescent="0.25">
      <c r="A8" s="10">
        <v>5</v>
      </c>
      <c r="B8" s="1" t="s">
        <v>41</v>
      </c>
      <c r="C8" s="10">
        <v>1090</v>
      </c>
      <c r="D8" s="10">
        <v>2</v>
      </c>
    </row>
    <row r="9" spans="1:4" x14ac:dyDescent="0.25">
      <c r="A9" s="10">
        <v>6</v>
      </c>
      <c r="B9" s="1" t="s">
        <v>43</v>
      </c>
      <c r="C9" s="10">
        <v>980</v>
      </c>
      <c r="D9" s="10">
        <v>7</v>
      </c>
    </row>
    <row r="10" spans="1:4" x14ac:dyDescent="0.25">
      <c r="C1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workbookViewId="0">
      <selection activeCell="H6" sqref="H6"/>
    </sheetView>
  </sheetViews>
  <sheetFormatPr defaultRowHeight="15" x14ac:dyDescent="0.25"/>
  <cols>
    <col min="1" max="1" width="5.7109375" customWidth="1"/>
    <col min="2" max="3" width="20.5703125" customWidth="1"/>
    <col min="4" max="4" width="15.28515625" customWidth="1"/>
    <col min="5" max="5" width="13" customWidth="1"/>
    <col min="6" max="6" width="12.28515625" customWidth="1"/>
    <col min="7" max="7" width="18" customWidth="1"/>
    <col min="8" max="8" width="24.5703125" customWidth="1"/>
    <col min="9" max="9" width="23.5703125" customWidth="1"/>
  </cols>
  <sheetData>
    <row r="1" spans="1:13" ht="39" customHeight="1" x14ac:dyDescent="0.25">
      <c r="A1" s="4" t="s">
        <v>7</v>
      </c>
    </row>
    <row r="5" spans="1:13" s="6" customFormat="1" ht="49.5" customHeight="1" x14ac:dyDescent="0.25">
      <c r="A5" s="8" t="s">
        <v>0</v>
      </c>
      <c r="B5" s="8" t="s">
        <v>8</v>
      </c>
      <c r="C5" s="8" t="s">
        <v>5</v>
      </c>
      <c r="D5" s="8" t="s">
        <v>17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</row>
    <row r="6" spans="1:13" x14ac:dyDescent="0.25">
      <c r="A6" s="1">
        <v>1</v>
      </c>
      <c r="B6" s="1" t="s">
        <v>155</v>
      </c>
      <c r="C6" s="1" t="str">
        <f>Pareigybės!B4</f>
        <v>Vadovas</v>
      </c>
      <c r="D6" s="1">
        <f>VLOOKUP(C6,Pareigybės!$B$4:$C$9,2,0)</f>
        <v>2800</v>
      </c>
      <c r="E6" s="34">
        <f>D6/(22*8)</f>
        <v>15.909090909090908</v>
      </c>
      <c r="F6" s="34">
        <f ca="1">CHOOSE(RANDBETWEEN(1,2),150,200)</f>
        <v>150</v>
      </c>
      <c r="G6" s="10" t="s">
        <v>49</v>
      </c>
      <c r="H6" s="1" t="str">
        <f ca="1">CONCATENATE(3706,RANDBETWEEN(0,9),RANDBETWEEN(0,9),RANDBETWEEN(0,9),RANDBETWEEN(0,9),RANDBETWEEN(0,9),RANDBETWEEN(0,9),RANDBETWEEN(0,9))</f>
        <v>37067779269</v>
      </c>
      <c r="I6" s="1" t="s">
        <v>139</v>
      </c>
    </row>
    <row r="7" spans="1:13" x14ac:dyDescent="0.25">
      <c r="A7" s="1">
        <v>2</v>
      </c>
      <c r="B7" s="1" t="s">
        <v>156</v>
      </c>
      <c r="C7" s="1" t="str">
        <f>Pareigybės!$B$5</f>
        <v>Buhalterė</v>
      </c>
      <c r="D7" s="1">
        <f>VLOOKUP(C7,Pareigybės!$B$4:$C$9,2,0)</f>
        <v>1600</v>
      </c>
      <c r="E7" s="34">
        <f t="shared" ref="E7:E20" si="0">D7/(22*8)</f>
        <v>9.0909090909090917</v>
      </c>
      <c r="F7" s="34">
        <f t="shared" ref="F7:F20" ca="1" si="1">CHOOSE(RANDBETWEEN(1,2),150,200)</f>
        <v>200</v>
      </c>
      <c r="G7" s="10" t="s">
        <v>49</v>
      </c>
      <c r="H7" s="1" t="str">
        <f t="shared" ref="H7:H20" ca="1" si="2">CONCATENATE(3706,RANDBETWEEN(0,9),RANDBETWEEN(0,9),RANDBETWEEN(0,9),RANDBETWEEN(0,9),RANDBETWEEN(0,9),RANDBETWEEN(0,9),RANDBETWEEN(0,9))</f>
        <v>37066834428</v>
      </c>
      <c r="I7" s="1" t="s">
        <v>140</v>
      </c>
    </row>
    <row r="8" spans="1:13" x14ac:dyDescent="0.25">
      <c r="A8" s="1">
        <v>3</v>
      </c>
      <c r="B8" s="1" t="s">
        <v>157</v>
      </c>
      <c r="C8" s="1" t="str">
        <f>Pareigybės!$B$5</f>
        <v>Buhalterė</v>
      </c>
      <c r="D8" s="1">
        <f>VLOOKUP(C8,Pareigybės!$B$4:$C$9,2,0)</f>
        <v>1600</v>
      </c>
      <c r="E8" s="34">
        <f t="shared" si="0"/>
        <v>9.0909090909090917</v>
      </c>
      <c r="F8" s="34">
        <f t="shared" ca="1" si="1"/>
        <v>200</v>
      </c>
      <c r="G8" s="10" t="s">
        <v>49</v>
      </c>
      <c r="H8" s="1" t="str">
        <f t="shared" ca="1" si="2"/>
        <v>37061833774</v>
      </c>
      <c r="I8" s="1" t="s">
        <v>141</v>
      </c>
    </row>
    <row r="9" spans="1:13" x14ac:dyDescent="0.25">
      <c r="A9" s="1">
        <v>4</v>
      </c>
      <c r="B9" s="1" t="s">
        <v>158</v>
      </c>
      <c r="C9" s="1" t="str">
        <f>Pareigybės!$B$6</f>
        <v>Administratorė</v>
      </c>
      <c r="D9" s="1">
        <f>VLOOKUP(C9,Pareigybės!$B$4:$C$9,2,0)</f>
        <v>1505</v>
      </c>
      <c r="E9" s="34">
        <f t="shared" si="0"/>
        <v>8.5511363636363633</v>
      </c>
      <c r="F9" s="34">
        <f t="shared" ca="1" si="1"/>
        <v>200</v>
      </c>
      <c r="G9" s="10" t="s">
        <v>49</v>
      </c>
      <c r="H9" s="1" t="str">
        <f t="shared" ca="1" si="2"/>
        <v>37069186926</v>
      </c>
      <c r="I9" s="1" t="s">
        <v>142</v>
      </c>
    </row>
    <row r="10" spans="1:13" x14ac:dyDescent="0.25">
      <c r="A10" s="1">
        <v>5</v>
      </c>
      <c r="B10" s="1" t="s">
        <v>159</v>
      </c>
      <c r="C10" s="1" t="str">
        <f>Pareigybės!$B$7</f>
        <v>Vadybininkas</v>
      </c>
      <c r="D10" s="1">
        <f>VLOOKUP(C10,Pareigybės!$B$4:$C$9,2,0)</f>
        <v>1199</v>
      </c>
      <c r="E10" s="34">
        <f t="shared" si="0"/>
        <v>6.8125</v>
      </c>
      <c r="F10" s="34">
        <f t="shared" ca="1" si="1"/>
        <v>200</v>
      </c>
      <c r="G10" s="10" t="s">
        <v>49</v>
      </c>
      <c r="H10" s="1" t="str">
        <f t="shared" ca="1" si="2"/>
        <v>37065913347</v>
      </c>
      <c r="I10" s="1" t="s">
        <v>143</v>
      </c>
      <c r="M10" s="33"/>
    </row>
    <row r="11" spans="1:13" x14ac:dyDescent="0.25">
      <c r="A11" s="1">
        <v>6</v>
      </c>
      <c r="B11" s="1" t="s">
        <v>160</v>
      </c>
      <c r="C11" s="1" t="str">
        <f>Pareigybės!$B$7</f>
        <v>Vadybininkas</v>
      </c>
      <c r="D11" s="1">
        <f>VLOOKUP(C11,Pareigybės!$B$4:$C$9,2,0)</f>
        <v>1199</v>
      </c>
      <c r="E11" s="34">
        <f t="shared" si="0"/>
        <v>6.8125</v>
      </c>
      <c r="F11" s="34">
        <f t="shared" ca="1" si="1"/>
        <v>150</v>
      </c>
      <c r="G11" s="10" t="s">
        <v>49</v>
      </c>
      <c r="H11" s="1" t="str">
        <f t="shared" ca="1" si="2"/>
        <v>37063513645</v>
      </c>
      <c r="I11" s="1" t="s">
        <v>144</v>
      </c>
      <c r="M11" s="33"/>
    </row>
    <row r="12" spans="1:13" x14ac:dyDescent="0.25">
      <c r="A12" s="1">
        <v>7</v>
      </c>
      <c r="B12" s="1" t="s">
        <v>161</v>
      </c>
      <c r="C12" s="1" t="str">
        <f>Pareigybės!$B$8</f>
        <v>Sandėlininkas</v>
      </c>
      <c r="D12" s="1">
        <f>VLOOKUP(C12,Pareigybės!$B$4:$C$9,2,0)</f>
        <v>1090</v>
      </c>
      <c r="E12" s="34">
        <f t="shared" si="0"/>
        <v>6.1931818181818183</v>
      </c>
      <c r="F12" s="34">
        <f t="shared" ca="1" si="1"/>
        <v>150</v>
      </c>
      <c r="G12" s="10" t="s">
        <v>49</v>
      </c>
      <c r="H12" s="1" t="str">
        <f t="shared" ca="1" si="2"/>
        <v>37063539796</v>
      </c>
      <c r="I12" s="1" t="s">
        <v>145</v>
      </c>
    </row>
    <row r="13" spans="1:13" x14ac:dyDescent="0.25">
      <c r="A13" s="1">
        <v>8</v>
      </c>
      <c r="B13" s="1" t="s">
        <v>162</v>
      </c>
      <c r="C13" s="1" t="str">
        <f>Pareigybės!$B$8</f>
        <v>Sandėlininkas</v>
      </c>
      <c r="D13" s="1">
        <f>VLOOKUP(C13,Pareigybės!$B$4:$C$9,2,0)</f>
        <v>1090</v>
      </c>
      <c r="E13" s="34">
        <f t="shared" si="0"/>
        <v>6.1931818181818183</v>
      </c>
      <c r="F13" s="34">
        <f t="shared" ca="1" si="1"/>
        <v>200</v>
      </c>
      <c r="G13" s="10" t="s">
        <v>49</v>
      </c>
      <c r="H13" s="1" t="str">
        <f t="shared" ca="1" si="2"/>
        <v>37060996537</v>
      </c>
      <c r="I13" s="1" t="s">
        <v>146</v>
      </c>
    </row>
    <row r="14" spans="1:13" x14ac:dyDescent="0.25">
      <c r="A14" s="1">
        <v>9</v>
      </c>
      <c r="B14" s="1" t="s">
        <v>163</v>
      </c>
      <c r="C14" s="1" t="str">
        <f>Pareigybės!$B$9</f>
        <v>Gamybos darbuotojas</v>
      </c>
      <c r="D14" s="1">
        <f>VLOOKUP(C14,Pareigybės!$B$4:$C$9,2,0)</f>
        <v>980</v>
      </c>
      <c r="E14" s="34">
        <f t="shared" si="0"/>
        <v>5.5681818181818183</v>
      </c>
      <c r="F14" s="34">
        <f t="shared" ca="1" si="1"/>
        <v>150</v>
      </c>
      <c r="G14" s="10" t="s">
        <v>49</v>
      </c>
      <c r="H14" s="1" t="str">
        <f t="shared" ca="1" si="2"/>
        <v>37064914560</v>
      </c>
      <c r="I14" s="1" t="s">
        <v>147</v>
      </c>
    </row>
    <row r="15" spans="1:13" x14ac:dyDescent="0.25">
      <c r="A15" s="1">
        <v>10</v>
      </c>
      <c r="B15" s="1" t="s">
        <v>164</v>
      </c>
      <c r="C15" s="1" t="str">
        <f>Pareigybės!$B$9</f>
        <v>Gamybos darbuotojas</v>
      </c>
      <c r="D15" s="1">
        <f>VLOOKUP(C15,Pareigybės!$B$4:$C$9,2,0)</f>
        <v>980</v>
      </c>
      <c r="E15" s="34">
        <f t="shared" si="0"/>
        <v>5.5681818181818183</v>
      </c>
      <c r="F15" s="34">
        <f t="shared" ca="1" si="1"/>
        <v>200</v>
      </c>
      <c r="G15" s="10" t="s">
        <v>49</v>
      </c>
      <c r="H15" s="1" t="str">
        <f t="shared" ca="1" si="2"/>
        <v>37065334320</v>
      </c>
      <c r="I15" s="1" t="s">
        <v>148</v>
      </c>
    </row>
    <row r="16" spans="1:13" x14ac:dyDescent="0.25">
      <c r="A16" s="1">
        <v>11</v>
      </c>
      <c r="B16" s="1" t="s">
        <v>165</v>
      </c>
      <c r="C16" s="1" t="str">
        <f>Pareigybės!$B$9</f>
        <v>Gamybos darbuotojas</v>
      </c>
      <c r="D16" s="1">
        <f>VLOOKUP(C16,Pareigybės!$B$4:$C$9,2,0)</f>
        <v>980</v>
      </c>
      <c r="E16" s="34">
        <f t="shared" si="0"/>
        <v>5.5681818181818183</v>
      </c>
      <c r="F16" s="34">
        <f t="shared" ca="1" si="1"/>
        <v>150</v>
      </c>
      <c r="G16" s="10" t="s">
        <v>49</v>
      </c>
      <c r="H16" s="1" t="str">
        <f t="shared" ca="1" si="2"/>
        <v>37068489642</v>
      </c>
      <c r="I16" s="1" t="s">
        <v>149</v>
      </c>
    </row>
    <row r="17" spans="1:9" x14ac:dyDescent="0.25">
      <c r="A17" s="1">
        <v>12</v>
      </c>
      <c r="B17" s="1" t="s">
        <v>166</v>
      </c>
      <c r="C17" s="1" t="str">
        <f>Pareigybės!$B$9</f>
        <v>Gamybos darbuotojas</v>
      </c>
      <c r="D17" s="1">
        <f>VLOOKUP(C17,Pareigybės!$B$4:$C$9,2,0)</f>
        <v>980</v>
      </c>
      <c r="E17" s="34">
        <f t="shared" si="0"/>
        <v>5.5681818181818183</v>
      </c>
      <c r="F17" s="34">
        <f t="shared" ca="1" si="1"/>
        <v>200</v>
      </c>
      <c r="G17" s="10" t="s">
        <v>49</v>
      </c>
      <c r="H17" s="1" t="str">
        <f t="shared" ca="1" si="2"/>
        <v>37068456194</v>
      </c>
      <c r="I17" s="1" t="s">
        <v>150</v>
      </c>
    </row>
    <row r="18" spans="1:9" x14ac:dyDescent="0.25">
      <c r="A18" s="1">
        <v>13</v>
      </c>
      <c r="B18" s="1" t="s">
        <v>167</v>
      </c>
      <c r="C18" s="1" t="str">
        <f>Pareigybės!$B$9</f>
        <v>Gamybos darbuotojas</v>
      </c>
      <c r="D18" s="1">
        <f>VLOOKUP(C18,Pareigybės!$B$4:$C$9,2,0)</f>
        <v>980</v>
      </c>
      <c r="E18" s="34">
        <f t="shared" si="0"/>
        <v>5.5681818181818183</v>
      </c>
      <c r="F18" s="34">
        <f t="shared" ca="1" si="1"/>
        <v>200</v>
      </c>
      <c r="G18" s="10" t="s">
        <v>49</v>
      </c>
      <c r="H18" s="1" t="str">
        <f t="shared" ca="1" si="2"/>
        <v>37061539330</v>
      </c>
      <c r="I18" s="1" t="s">
        <v>151</v>
      </c>
    </row>
    <row r="19" spans="1:9" x14ac:dyDescent="0.25">
      <c r="A19" s="1">
        <v>14</v>
      </c>
      <c r="B19" s="1" t="s">
        <v>168</v>
      </c>
      <c r="C19" s="1" t="str">
        <f>Pareigybės!$B$9</f>
        <v>Gamybos darbuotojas</v>
      </c>
      <c r="D19" s="1">
        <f>VLOOKUP(C19,Pareigybės!$B$4:$C$9,2,0)</f>
        <v>980</v>
      </c>
      <c r="E19" s="34">
        <f t="shared" si="0"/>
        <v>5.5681818181818183</v>
      </c>
      <c r="F19" s="34">
        <f t="shared" ca="1" si="1"/>
        <v>200</v>
      </c>
      <c r="G19" s="10" t="s">
        <v>49</v>
      </c>
      <c r="H19" s="1" t="str">
        <f t="shared" ca="1" si="2"/>
        <v>37064434751</v>
      </c>
      <c r="I19" s="1" t="s">
        <v>152</v>
      </c>
    </row>
    <row r="20" spans="1:9" x14ac:dyDescent="0.25">
      <c r="A20" s="1">
        <v>15</v>
      </c>
      <c r="B20" s="1" t="s">
        <v>169</v>
      </c>
      <c r="C20" s="1" t="str">
        <f>Pareigybės!$B$9</f>
        <v>Gamybos darbuotojas</v>
      </c>
      <c r="D20" s="1">
        <f>VLOOKUP(C20,Pareigybės!$B$4:$C$9,2,0)</f>
        <v>980</v>
      </c>
      <c r="E20" s="34">
        <f t="shared" si="0"/>
        <v>5.5681818181818183</v>
      </c>
      <c r="F20" s="34">
        <f t="shared" ca="1" si="1"/>
        <v>200</v>
      </c>
      <c r="G20" s="10" t="s">
        <v>49</v>
      </c>
      <c r="H20" s="1" t="str">
        <f t="shared" ca="1" si="2"/>
        <v>37068830701</v>
      </c>
      <c r="I20" s="1" t="s">
        <v>153</v>
      </c>
    </row>
    <row r="27" spans="1:9" x14ac:dyDescent="0.25">
      <c r="B27" s="14"/>
      <c r="C27" s="12"/>
      <c r="H27" s="12"/>
    </row>
    <row r="28" spans="1:9" x14ac:dyDescent="0.25">
      <c r="B28" s="14"/>
      <c r="C28" s="12"/>
      <c r="H28" s="12"/>
    </row>
    <row r="29" spans="1:9" x14ac:dyDescent="0.25">
      <c r="C29" s="12"/>
      <c r="H29" s="12"/>
    </row>
    <row r="30" spans="1:9" x14ac:dyDescent="0.25">
      <c r="C30" s="12"/>
      <c r="H30" s="12"/>
    </row>
    <row r="31" spans="1:9" x14ac:dyDescent="0.25">
      <c r="C31" s="12"/>
      <c r="H31" s="12"/>
    </row>
    <row r="32" spans="1:9" x14ac:dyDescent="0.25">
      <c r="C32" s="13"/>
      <c r="H32" s="13"/>
    </row>
    <row r="33" spans="3:8" x14ac:dyDescent="0.25">
      <c r="C33" s="12"/>
      <c r="H33" s="12"/>
    </row>
    <row r="34" spans="3:8" x14ac:dyDescent="0.25">
      <c r="C34" s="12"/>
      <c r="H34" s="12"/>
    </row>
    <row r="35" spans="3:8" x14ac:dyDescent="0.25">
      <c r="C35" s="12"/>
      <c r="H35" s="12"/>
    </row>
    <row r="36" spans="3:8" x14ac:dyDescent="0.25">
      <c r="C36" s="12"/>
      <c r="H36" s="12"/>
    </row>
    <row r="37" spans="3:8" x14ac:dyDescent="0.25">
      <c r="C37" s="12"/>
      <c r="H37" s="12"/>
    </row>
    <row r="38" spans="3:8" x14ac:dyDescent="0.25">
      <c r="C38" s="12"/>
      <c r="H38" s="12"/>
    </row>
    <row r="39" spans="3:8" x14ac:dyDescent="0.25">
      <c r="C39" s="12"/>
      <c r="H39" s="12"/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4"/>
  <sheetViews>
    <sheetView zoomScale="85" zoomScaleNormal="85" workbookViewId="0">
      <selection activeCell="W30" sqref="W30"/>
    </sheetView>
  </sheetViews>
  <sheetFormatPr defaultColWidth="9.140625" defaultRowHeight="15" x14ac:dyDescent="0.25"/>
  <cols>
    <col min="1" max="1" width="24.28515625" style="19" bestFit="1" customWidth="1"/>
    <col min="2" max="2" width="4.85546875" style="19" customWidth="1"/>
    <col min="3" max="3" width="22.5703125" style="19" customWidth="1"/>
    <col min="4" max="4" width="18.5703125" style="19" customWidth="1"/>
    <col min="5" max="5" width="12.140625" style="19" customWidth="1"/>
    <col min="6" max="6" width="11.7109375" style="19" customWidth="1"/>
    <col min="7" max="7" width="11.5703125" style="19" customWidth="1"/>
    <col min="8" max="8" width="9.5703125" style="19" customWidth="1"/>
    <col min="9" max="9" width="10.85546875" style="19" customWidth="1"/>
    <col min="10" max="10" width="13.28515625" style="19" customWidth="1"/>
    <col min="11" max="11" width="12.28515625" style="19" customWidth="1"/>
    <col min="12" max="12" width="12.7109375" style="19" customWidth="1"/>
    <col min="13" max="13" width="13.28515625" style="19" customWidth="1"/>
    <col min="14" max="14" width="15" style="19" customWidth="1"/>
    <col min="15" max="15" width="13.28515625" style="19" customWidth="1"/>
    <col min="16" max="16" width="11" style="19" customWidth="1"/>
    <col min="17" max="17" width="10.140625" style="19" customWidth="1"/>
    <col min="18" max="18" width="8.7109375" style="19" customWidth="1"/>
    <col min="19" max="19" width="10.85546875" style="19" customWidth="1"/>
    <col min="20" max="20" width="11.42578125" style="19" customWidth="1"/>
    <col min="21" max="21" width="11.7109375" style="19" customWidth="1"/>
    <col min="22" max="22" width="11.28515625" style="19" customWidth="1"/>
    <col min="23" max="23" width="11.5703125" style="19" customWidth="1"/>
    <col min="24" max="24" width="13.5703125" style="19" bestFit="1" customWidth="1"/>
    <col min="25" max="25" width="11" style="19" customWidth="1"/>
    <col min="26" max="16384" width="9.140625" style="19"/>
  </cols>
  <sheetData>
    <row r="1" spans="1:25" ht="18.75" customHeight="1" x14ac:dyDescent="0.25">
      <c r="A1" s="2" t="s">
        <v>71</v>
      </c>
      <c r="F1" s="20" t="s">
        <v>112</v>
      </c>
      <c r="G1" s="21">
        <v>0.2</v>
      </c>
      <c r="J1" s="42" t="s">
        <v>4</v>
      </c>
      <c r="K1" s="42"/>
      <c r="L1" s="22">
        <v>2E-3</v>
      </c>
      <c r="N1" s="44" t="s">
        <v>97</v>
      </c>
      <c r="O1" s="44"/>
      <c r="P1" s="44"/>
      <c r="Q1" s="44"/>
      <c r="R1" s="28">
        <v>1.6000000000000001E-3</v>
      </c>
      <c r="S1" s="36"/>
    </row>
    <row r="2" spans="1:25" ht="15.75" customHeight="1" x14ac:dyDescent="0.25">
      <c r="A2" s="19" t="s">
        <v>72</v>
      </c>
      <c r="F2" s="20" t="s">
        <v>113</v>
      </c>
      <c r="G2" s="21">
        <v>0.27</v>
      </c>
      <c r="J2" s="43" t="s">
        <v>76</v>
      </c>
      <c r="K2" s="43"/>
      <c r="L2" s="23"/>
      <c r="N2" s="44" t="s">
        <v>98</v>
      </c>
      <c r="O2" s="44"/>
      <c r="P2" s="44"/>
      <c r="Q2" s="44"/>
      <c r="R2" s="24">
        <v>1.4E-3</v>
      </c>
      <c r="S2" s="37"/>
    </row>
    <row r="3" spans="1:25" ht="17.25" customHeight="1" x14ac:dyDescent="0.25">
      <c r="A3" s="2" t="s">
        <v>73</v>
      </c>
      <c r="F3" s="20" t="s">
        <v>45</v>
      </c>
      <c r="G3" s="25">
        <v>0.1429</v>
      </c>
    </row>
    <row r="4" spans="1:25" ht="14.25" customHeight="1" x14ac:dyDescent="0.25">
      <c r="A4" s="2"/>
      <c r="F4" s="20" t="s">
        <v>96</v>
      </c>
      <c r="G4" s="25">
        <v>6.9800000000000001E-2</v>
      </c>
    </row>
    <row r="5" spans="1:25" x14ac:dyDescent="0.25">
      <c r="A5" s="2"/>
      <c r="F5" s="20" t="s">
        <v>46</v>
      </c>
      <c r="G5" s="25">
        <v>1.77E-2</v>
      </c>
    </row>
    <row r="6" spans="1:25" x14ac:dyDescent="0.25">
      <c r="F6" s="20" t="s">
        <v>47</v>
      </c>
      <c r="G6" s="21">
        <v>0.03</v>
      </c>
    </row>
    <row r="7" spans="1:25" x14ac:dyDescent="0.25">
      <c r="A7" s="16" t="s">
        <v>74</v>
      </c>
      <c r="F7" s="20" t="s">
        <v>67</v>
      </c>
      <c r="G7" s="21">
        <v>0.65</v>
      </c>
      <c r="I7" s="19" t="s">
        <v>77</v>
      </c>
      <c r="J7" s="23">
        <f ca="1">SUM(J10:J24)</f>
        <v>16367.285714285714</v>
      </c>
      <c r="K7" s="23">
        <f t="shared" ref="K7:X7" ca="1" si="0">SUM(K10:K24)</f>
        <v>100</v>
      </c>
      <c r="L7" s="23">
        <f t="shared" ca="1" si="0"/>
        <v>1491.1363636363635</v>
      </c>
      <c r="M7" s="23">
        <f t="shared" si="0"/>
        <v>0</v>
      </c>
      <c r="N7" s="23">
        <f t="shared" ca="1" si="0"/>
        <v>628.87500000000011</v>
      </c>
      <c r="O7" s="23">
        <f t="shared" ca="1" si="0"/>
        <v>18587.297077922081</v>
      </c>
      <c r="P7" s="23">
        <f t="shared" ca="1" si="0"/>
        <v>5008.0627597402608</v>
      </c>
      <c r="Q7" s="23">
        <f t="shared" ca="1" si="0"/>
        <v>2715.8468636363637</v>
      </c>
      <c r="R7" s="23">
        <f t="shared" ca="1" si="0"/>
        <v>2566.2585149350648</v>
      </c>
      <c r="S7" s="23">
        <f t="shared" ca="1" si="0"/>
        <v>1142.436542857143</v>
      </c>
      <c r="T7" s="23">
        <f t="shared" ca="1" si="0"/>
        <v>557.61891233766221</v>
      </c>
      <c r="U7" s="23">
        <f t="shared" ca="1" si="0"/>
        <v>6982.1608337662346</v>
      </c>
      <c r="V7" s="23">
        <f t="shared" ca="1" si="0"/>
        <v>11605.136244155843</v>
      </c>
      <c r="W7" s="23">
        <f t="shared" ca="1" si="0"/>
        <v>328.99515827922079</v>
      </c>
      <c r="X7" s="23">
        <f t="shared" ca="1" si="0"/>
        <v>2750</v>
      </c>
      <c r="Y7" s="23">
        <f ca="1">SUM(Y10:Y24)</f>
        <v>8855.1362441558431</v>
      </c>
    </row>
    <row r="9" spans="1:25" s="27" customFormat="1" ht="60" x14ac:dyDescent="0.25">
      <c r="A9" s="26" t="s">
        <v>14</v>
      </c>
      <c r="B9" s="26" t="s">
        <v>15</v>
      </c>
      <c r="C9" s="26" t="s">
        <v>16</v>
      </c>
      <c r="D9" s="26" t="s">
        <v>8</v>
      </c>
      <c r="E9" s="26" t="s">
        <v>101</v>
      </c>
      <c r="F9" s="26" t="s">
        <v>102</v>
      </c>
      <c r="G9" s="26" t="s">
        <v>18</v>
      </c>
      <c r="H9" s="26" t="s">
        <v>19</v>
      </c>
      <c r="I9" s="26" t="s">
        <v>20</v>
      </c>
      <c r="J9" s="26" t="s">
        <v>103</v>
      </c>
      <c r="K9" s="26" t="s">
        <v>104</v>
      </c>
      <c r="L9" s="26" t="s">
        <v>23</v>
      </c>
      <c r="M9" s="26" t="s">
        <v>24</v>
      </c>
      <c r="N9" s="26" t="s">
        <v>25</v>
      </c>
      <c r="O9" s="26" t="s">
        <v>26</v>
      </c>
      <c r="P9" s="26" t="s">
        <v>105</v>
      </c>
      <c r="Q9" s="26" t="s">
        <v>111</v>
      </c>
      <c r="R9" s="26" t="s">
        <v>99</v>
      </c>
      <c r="S9" s="26" t="s">
        <v>100</v>
      </c>
      <c r="T9" s="26" t="s">
        <v>47</v>
      </c>
      <c r="U9" s="26" t="s">
        <v>28</v>
      </c>
      <c r="V9" s="26" t="s">
        <v>29</v>
      </c>
      <c r="W9" s="26" t="s">
        <v>30</v>
      </c>
      <c r="X9" s="26" t="s">
        <v>31</v>
      </c>
      <c r="Y9" s="26" t="s">
        <v>32</v>
      </c>
    </row>
    <row r="10" spans="1:25" x14ac:dyDescent="0.25">
      <c r="A10" s="23" t="s">
        <v>154</v>
      </c>
      <c r="B10" s="35">
        <v>3</v>
      </c>
      <c r="C10" s="38">
        <f>EOMONTH(DATE(2026,3,1),0)</f>
        <v>46112</v>
      </c>
      <c r="D10" s="1" t="str">
        <f>Darbuotojai!B6</f>
        <v>Darbuotojas1</v>
      </c>
      <c r="E10" s="23">
        <f>Darbuotojai!D6</f>
        <v>2800</v>
      </c>
      <c r="F10" s="37">
        <f>VLOOKUP(D10,Darbuotojai!B6:E20,4,FALSE)</f>
        <v>15.909090909090908</v>
      </c>
      <c r="G10" s="23">
        <f>NETWORKDAYS(DATE(2026,3,1),DATE(2026,3,31),DATE(2026,3,11))</f>
        <v>21</v>
      </c>
      <c r="H10" s="23">
        <f ca="1">RANDBETWEEN(15,G10)</f>
        <v>21</v>
      </c>
      <c r="I10" s="23">
        <f ca="1">H10*8</f>
        <v>168</v>
      </c>
      <c r="J10" s="37">
        <f ca="1">E10*H10/G10</f>
        <v>2800</v>
      </c>
      <c r="K10" s="37">
        <f ca="1">IF(H10=21,50,0)</f>
        <v>50</v>
      </c>
      <c r="L10" s="37">
        <f ca="1">IF(G10-H10&gt;4,(G10-H10)*8*F10,0)</f>
        <v>0</v>
      </c>
      <c r="M10" s="37">
        <f>Užduotis!$C$31</f>
        <v>0</v>
      </c>
      <c r="N10" s="37">
        <f ca="1">IF(G10-H10&lt;=4,(G10-H10)*8*F10*$G$7,0)</f>
        <v>0</v>
      </c>
      <c r="O10" s="37">
        <f ca="1">SUM(J10:N10)</f>
        <v>2850</v>
      </c>
      <c r="P10" s="37">
        <f ca="1">IF(O10&lt;=730,460,IF(O10&lt;1670,460-0.26*(O10-730),MAX(0,400-0.18*(O10-642))))</f>
        <v>2.5600000000000023</v>
      </c>
      <c r="Q10" s="37">
        <f ca="1">(O10-P10)*20%</f>
        <v>569.48800000000006</v>
      </c>
      <c r="R10" s="37">
        <f ca="1">$G$3*(O10-N10)</f>
        <v>407.26499999999999</v>
      </c>
      <c r="S10" s="37">
        <f ca="1">J10*$G$4</f>
        <v>195.44</v>
      </c>
      <c r="T10" s="37">
        <f ca="1">$G$6*O10</f>
        <v>85.5</v>
      </c>
      <c r="U10" s="37">
        <f ca="1">SUM(Q10:T10)</f>
        <v>1257.693</v>
      </c>
      <c r="V10" s="37">
        <f ca="1">O10-U10</f>
        <v>1592.307</v>
      </c>
      <c r="W10" s="37">
        <f ca="1">$G$5*O10</f>
        <v>50.445</v>
      </c>
      <c r="X10" s="37">
        <f ca="1">VLOOKUP(D10,Darbuotojai!B6:F20,5,0)</f>
        <v>150</v>
      </c>
      <c r="Y10" s="37">
        <f ca="1">'Darbo užmokestis'!V10-'Darbo užmokestis'!X10</f>
        <v>1442.307</v>
      </c>
    </row>
    <row r="11" spans="1:25" x14ac:dyDescent="0.25">
      <c r="A11" s="23" t="s">
        <v>154</v>
      </c>
      <c r="B11" s="39">
        <v>3</v>
      </c>
      <c r="C11" s="38">
        <f t="shared" ref="C11:C24" si="1">EOMONTH(DATE(2026,3,1),0)</f>
        <v>46112</v>
      </c>
      <c r="D11" s="1" t="str">
        <f>Darbuotojai!B7</f>
        <v>Darbuotojas2</v>
      </c>
      <c r="E11" s="23">
        <f>Darbuotojai!D7</f>
        <v>1600</v>
      </c>
      <c r="F11" s="37">
        <f>VLOOKUP(D11,Darbuotojai!B7:E21,4,FALSE)</f>
        <v>9.0909090909090917</v>
      </c>
      <c r="G11" s="23">
        <f t="shared" ref="G11:G24" si="2">NETWORKDAYS(DATE(2026,3,1),DATE(2026,3,31),DATE(2026,3,11))</f>
        <v>21</v>
      </c>
      <c r="H11" s="23">
        <f t="shared" ref="H11:H24" ca="1" si="3">RANDBETWEEN(15,G11)</f>
        <v>15</v>
      </c>
      <c r="I11" s="23">
        <f t="shared" ref="I11:I24" ca="1" si="4">H11*8</f>
        <v>120</v>
      </c>
      <c r="J11" s="37">
        <f t="shared" ref="J11:J24" ca="1" si="5">E11*H11/G11</f>
        <v>1142.8571428571429</v>
      </c>
      <c r="K11" s="37">
        <f t="shared" ref="K11:K24" ca="1" si="6">IF(H11=21,50,0)</f>
        <v>0</v>
      </c>
      <c r="L11" s="37">
        <f t="shared" ref="L11:L24" ca="1" si="7">IF(G11-H11&gt;4,(G11-H11)*8*F11,0)</f>
        <v>436.36363636363637</v>
      </c>
      <c r="M11" s="37">
        <f>Užduotis!$C$31</f>
        <v>0</v>
      </c>
      <c r="N11" s="37">
        <f t="shared" ref="N11:N24" ca="1" si="8">IF(G11-H11&lt;=4,(G11-H11)*8*F11*$G$7,0)</f>
        <v>0</v>
      </c>
      <c r="O11" s="37">
        <f t="shared" ref="O11:O24" ca="1" si="9">SUM(J11:N11)</f>
        <v>1579.2207792207791</v>
      </c>
      <c r="P11" s="37">
        <f t="shared" ref="P11:P24" ca="1" si="10">IF(O11&lt;=730,460,IF(O11&lt;1670,460-0.26*(O11-730),MAX(0,400-0.18*(O11-642))))</f>
        <v>239.20259740259741</v>
      </c>
      <c r="Q11" s="37">
        <f t="shared" ref="Q11:Q24" ca="1" si="11">(O11-P11)*20%</f>
        <v>268.00363636363636</v>
      </c>
      <c r="R11" s="37">
        <f t="shared" ref="R11:R24" ca="1" si="12">$G$3*(O11-N11)</f>
        <v>225.67064935064934</v>
      </c>
      <c r="S11" s="37">
        <f t="shared" ref="S11:S24" ca="1" si="13">J11*$G$4</f>
        <v>79.771428571428572</v>
      </c>
      <c r="T11" s="37">
        <f t="shared" ref="T11:T24" ca="1" si="14">$G$6*O11</f>
        <v>47.376623376623371</v>
      </c>
      <c r="U11" s="37">
        <f t="shared" ref="U11:U24" ca="1" si="15">SUM(Q11:T11)</f>
        <v>620.82233766233765</v>
      </c>
      <c r="V11" s="37">
        <f t="shared" ref="V11:V24" ca="1" si="16">O11-U11</f>
        <v>958.3984415584415</v>
      </c>
      <c r="W11" s="37">
        <f t="shared" ref="W11:W24" ca="1" si="17">$G$5*O11</f>
        <v>27.952207792207791</v>
      </c>
      <c r="X11" s="37">
        <f ca="1">VLOOKUP(D11,Darbuotojai!B7:F21,5,0)</f>
        <v>200</v>
      </c>
      <c r="Y11" s="37">
        <f ca="1">'Darbo užmokestis'!V11-'Darbo užmokestis'!X11</f>
        <v>758.3984415584415</v>
      </c>
    </row>
    <row r="12" spans="1:25" x14ac:dyDescent="0.25">
      <c r="A12" s="23" t="s">
        <v>154</v>
      </c>
      <c r="B12" s="39">
        <v>3</v>
      </c>
      <c r="C12" s="38">
        <f t="shared" si="1"/>
        <v>46112</v>
      </c>
      <c r="D12" s="1" t="str">
        <f>Darbuotojai!B8</f>
        <v>Darbuotojas3</v>
      </c>
      <c r="E12" s="23">
        <f>Darbuotojai!D8</f>
        <v>1600</v>
      </c>
      <c r="F12" s="37">
        <f>VLOOKUP(D12,Darbuotojai!B8:E22,4,FALSE)</f>
        <v>9.0909090909090917</v>
      </c>
      <c r="G12" s="23">
        <f t="shared" si="2"/>
        <v>21</v>
      </c>
      <c r="H12" s="23">
        <f t="shared" ca="1" si="3"/>
        <v>19</v>
      </c>
      <c r="I12" s="23">
        <f t="shared" ca="1" si="4"/>
        <v>152</v>
      </c>
      <c r="J12" s="37">
        <f t="shared" ca="1" si="5"/>
        <v>1447.6190476190477</v>
      </c>
      <c r="K12" s="37">
        <f t="shared" ca="1" si="6"/>
        <v>0</v>
      </c>
      <c r="L12" s="37">
        <f t="shared" ca="1" si="7"/>
        <v>0</v>
      </c>
      <c r="M12" s="37">
        <f>Užduotis!$C$31</f>
        <v>0</v>
      </c>
      <c r="N12" s="37">
        <f t="shared" ca="1" si="8"/>
        <v>94.545454545454561</v>
      </c>
      <c r="O12" s="37">
        <f t="shared" ca="1" si="9"/>
        <v>1542.1645021645022</v>
      </c>
      <c r="P12" s="37">
        <f t="shared" ca="1" si="10"/>
        <v>248.83722943722941</v>
      </c>
      <c r="Q12" s="37">
        <f t="shared" ca="1" si="11"/>
        <v>258.66545454545457</v>
      </c>
      <c r="R12" s="37">
        <f t="shared" ca="1" si="12"/>
        <v>206.86476190476191</v>
      </c>
      <c r="S12" s="37">
        <f t="shared" ca="1" si="13"/>
        <v>101.04380952380953</v>
      </c>
      <c r="T12" s="37">
        <f t="shared" ca="1" si="14"/>
        <v>46.264935064935067</v>
      </c>
      <c r="U12" s="37">
        <f t="shared" ca="1" si="15"/>
        <v>612.83896103896109</v>
      </c>
      <c r="V12" s="37">
        <f t="shared" ca="1" si="16"/>
        <v>929.32554112554112</v>
      </c>
      <c r="W12" s="37">
        <f t="shared" ca="1" si="17"/>
        <v>27.29631168831169</v>
      </c>
      <c r="X12" s="37">
        <f ca="1">VLOOKUP(D12,Darbuotojai!B8:F22,5,0)</f>
        <v>200</v>
      </c>
      <c r="Y12" s="37">
        <f ca="1">'Darbo užmokestis'!V12-'Darbo užmokestis'!X12</f>
        <v>729.32554112554112</v>
      </c>
    </row>
    <row r="13" spans="1:25" x14ac:dyDescent="0.25">
      <c r="A13" s="23" t="s">
        <v>154</v>
      </c>
      <c r="B13" s="39">
        <v>3</v>
      </c>
      <c r="C13" s="38">
        <f t="shared" si="1"/>
        <v>46112</v>
      </c>
      <c r="D13" s="1" t="str">
        <f>Darbuotojai!B9</f>
        <v>Darbuotojas4</v>
      </c>
      <c r="E13" s="23">
        <f>Darbuotojai!D9</f>
        <v>1505</v>
      </c>
      <c r="F13" s="37">
        <f>VLOOKUP(D13,Darbuotojai!B9:E23,4,FALSE)</f>
        <v>8.5511363636363633</v>
      </c>
      <c r="G13" s="23">
        <f t="shared" si="2"/>
        <v>21</v>
      </c>
      <c r="H13" s="23">
        <f t="shared" ca="1" si="3"/>
        <v>16</v>
      </c>
      <c r="I13" s="23">
        <f t="shared" ca="1" si="4"/>
        <v>128</v>
      </c>
      <c r="J13" s="37">
        <f t="shared" ca="1" si="5"/>
        <v>1146.6666666666667</v>
      </c>
      <c r="K13" s="37">
        <f t="shared" ca="1" si="6"/>
        <v>0</v>
      </c>
      <c r="L13" s="37">
        <f t="shared" ca="1" si="7"/>
        <v>342.0454545454545</v>
      </c>
      <c r="M13" s="37">
        <f>Užduotis!$C$31</f>
        <v>0</v>
      </c>
      <c r="N13" s="37">
        <f t="shared" ca="1" si="8"/>
        <v>0</v>
      </c>
      <c r="O13" s="37">
        <f t="shared" ca="1" si="9"/>
        <v>1488.7121212121212</v>
      </c>
      <c r="P13" s="37">
        <f t="shared" ca="1" si="10"/>
        <v>262.7348484848485</v>
      </c>
      <c r="Q13" s="37">
        <f t="shared" ca="1" si="11"/>
        <v>245.19545454545457</v>
      </c>
      <c r="R13" s="37">
        <f t="shared" ca="1" si="12"/>
        <v>212.73696212121212</v>
      </c>
      <c r="S13" s="37">
        <f t="shared" ca="1" si="13"/>
        <v>80.037333333333336</v>
      </c>
      <c r="T13" s="37">
        <f t="shared" ca="1" si="14"/>
        <v>44.661363636363639</v>
      </c>
      <c r="U13" s="37">
        <f t="shared" ca="1" si="15"/>
        <v>582.63111363636358</v>
      </c>
      <c r="V13" s="37">
        <f t="shared" ca="1" si="16"/>
        <v>906.08100757575767</v>
      </c>
      <c r="W13" s="37">
        <f t="shared" ca="1" si="17"/>
        <v>26.350204545454545</v>
      </c>
      <c r="X13" s="37">
        <f ca="1">VLOOKUP(D13,Darbuotojai!B9:F23,5,0)</f>
        <v>200</v>
      </c>
      <c r="Y13" s="37">
        <f ca="1">'Darbo užmokestis'!V13-'Darbo užmokestis'!X13</f>
        <v>706.08100757575767</v>
      </c>
    </row>
    <row r="14" spans="1:25" x14ac:dyDescent="0.25">
      <c r="A14" s="23" t="s">
        <v>154</v>
      </c>
      <c r="B14" s="39">
        <v>3</v>
      </c>
      <c r="C14" s="38">
        <f t="shared" si="1"/>
        <v>46112</v>
      </c>
      <c r="D14" s="1" t="str">
        <f>Darbuotojai!B10</f>
        <v>Darbuotojas5</v>
      </c>
      <c r="E14" s="23">
        <f>Darbuotojai!D10</f>
        <v>1199</v>
      </c>
      <c r="F14" s="37">
        <f>VLOOKUP(D14,Darbuotojai!B10:E24,4,FALSE)</f>
        <v>6.8125</v>
      </c>
      <c r="G14" s="23">
        <f t="shared" si="2"/>
        <v>21</v>
      </c>
      <c r="H14" s="23">
        <f t="shared" ca="1" si="3"/>
        <v>20</v>
      </c>
      <c r="I14" s="23">
        <f t="shared" ca="1" si="4"/>
        <v>160</v>
      </c>
      <c r="J14" s="37">
        <f t="shared" ca="1" si="5"/>
        <v>1141.9047619047619</v>
      </c>
      <c r="K14" s="37">
        <f t="shared" ca="1" si="6"/>
        <v>0</v>
      </c>
      <c r="L14" s="37">
        <f t="shared" ca="1" si="7"/>
        <v>0</v>
      </c>
      <c r="M14" s="37">
        <f>Užduotis!$C$31</f>
        <v>0</v>
      </c>
      <c r="N14" s="37">
        <f t="shared" ca="1" si="8"/>
        <v>35.425000000000004</v>
      </c>
      <c r="O14" s="37">
        <f t="shared" ca="1" si="9"/>
        <v>1177.3297619047619</v>
      </c>
      <c r="P14" s="37">
        <f t="shared" ca="1" si="10"/>
        <v>343.6942619047619</v>
      </c>
      <c r="Q14" s="37">
        <f t="shared" ca="1" si="11"/>
        <v>166.72710000000001</v>
      </c>
      <c r="R14" s="37">
        <f t="shared" ca="1" si="12"/>
        <v>163.17819047619048</v>
      </c>
      <c r="S14" s="37">
        <f t="shared" ca="1" si="13"/>
        <v>79.704952380952378</v>
      </c>
      <c r="T14" s="37">
        <f t="shared" ca="1" si="14"/>
        <v>35.319892857142854</v>
      </c>
      <c r="U14" s="37">
        <f t="shared" ca="1" si="15"/>
        <v>444.93013571428571</v>
      </c>
      <c r="V14" s="37">
        <f t="shared" ca="1" si="16"/>
        <v>732.39962619047617</v>
      </c>
      <c r="W14" s="37">
        <f t="shared" ca="1" si="17"/>
        <v>20.838736785714286</v>
      </c>
      <c r="X14" s="37">
        <f ca="1">VLOOKUP(D14,Darbuotojai!B10:F24,5,0)</f>
        <v>200</v>
      </c>
      <c r="Y14" s="37">
        <f ca="1">'Darbo užmokestis'!V14-'Darbo užmokestis'!X14</f>
        <v>532.39962619047617</v>
      </c>
    </row>
    <row r="15" spans="1:25" x14ac:dyDescent="0.25">
      <c r="A15" s="23" t="s">
        <v>154</v>
      </c>
      <c r="B15" s="39">
        <v>3</v>
      </c>
      <c r="C15" s="38">
        <f t="shared" si="1"/>
        <v>46112</v>
      </c>
      <c r="D15" s="1" t="str">
        <f>Darbuotojai!B11</f>
        <v>Darbuotojas6</v>
      </c>
      <c r="E15" s="23">
        <f>Darbuotojai!D11</f>
        <v>1199</v>
      </c>
      <c r="F15" s="37">
        <f>VLOOKUP(D15,Darbuotojai!B11:E25,4,FALSE)</f>
        <v>6.8125</v>
      </c>
      <c r="G15" s="23">
        <f t="shared" si="2"/>
        <v>21</v>
      </c>
      <c r="H15" s="23">
        <f t="shared" ca="1" si="3"/>
        <v>17</v>
      </c>
      <c r="I15" s="23">
        <f t="shared" ca="1" si="4"/>
        <v>136</v>
      </c>
      <c r="J15" s="37">
        <f t="shared" ca="1" si="5"/>
        <v>970.61904761904759</v>
      </c>
      <c r="K15" s="37">
        <f t="shared" ca="1" si="6"/>
        <v>0</v>
      </c>
      <c r="L15" s="37">
        <f t="shared" ca="1" si="7"/>
        <v>0</v>
      </c>
      <c r="M15" s="37">
        <f>Užduotis!$C$31</f>
        <v>0</v>
      </c>
      <c r="N15" s="37">
        <f t="shared" ca="1" si="8"/>
        <v>141.70000000000002</v>
      </c>
      <c r="O15" s="37">
        <f t="shared" ca="1" si="9"/>
        <v>1112.3190476190475</v>
      </c>
      <c r="P15" s="37">
        <f t="shared" ca="1" si="10"/>
        <v>360.59704761904766</v>
      </c>
      <c r="Q15" s="37">
        <f t="shared" ca="1" si="11"/>
        <v>150.34439999999998</v>
      </c>
      <c r="R15" s="37">
        <f t="shared" ca="1" si="12"/>
        <v>138.70146190476189</v>
      </c>
      <c r="S15" s="37">
        <f t="shared" ca="1" si="13"/>
        <v>67.749209523809526</v>
      </c>
      <c r="T15" s="37">
        <f t="shared" ca="1" si="14"/>
        <v>33.369571428571426</v>
      </c>
      <c r="U15" s="37">
        <f t="shared" ca="1" si="15"/>
        <v>390.16464285714284</v>
      </c>
      <c r="V15" s="37">
        <f t="shared" ca="1" si="16"/>
        <v>722.15440476190474</v>
      </c>
      <c r="W15" s="37">
        <f t="shared" ca="1" si="17"/>
        <v>19.68804714285714</v>
      </c>
      <c r="X15" s="37">
        <f ca="1">VLOOKUP(D15,Darbuotojai!B11:F25,5,0)</f>
        <v>150</v>
      </c>
      <c r="Y15" s="37">
        <f ca="1">'Darbo užmokestis'!V15-'Darbo užmokestis'!X15</f>
        <v>572.15440476190474</v>
      </c>
    </row>
    <row r="16" spans="1:25" x14ac:dyDescent="0.25">
      <c r="A16" s="23" t="s">
        <v>154</v>
      </c>
      <c r="B16" s="39">
        <v>3</v>
      </c>
      <c r="C16" s="38">
        <f t="shared" si="1"/>
        <v>46112</v>
      </c>
      <c r="D16" s="1" t="str">
        <f>Darbuotojai!B12</f>
        <v>Darbuotojas7</v>
      </c>
      <c r="E16" s="23">
        <f>Darbuotojai!D12</f>
        <v>1090</v>
      </c>
      <c r="F16" s="37">
        <f>VLOOKUP(D16,Darbuotojai!B12:E26,4,FALSE)</f>
        <v>6.1931818181818183</v>
      </c>
      <c r="G16" s="23">
        <f t="shared" si="2"/>
        <v>21</v>
      </c>
      <c r="H16" s="23">
        <f t="shared" ca="1" si="3"/>
        <v>20</v>
      </c>
      <c r="I16" s="23">
        <f t="shared" ca="1" si="4"/>
        <v>160</v>
      </c>
      <c r="J16" s="37">
        <f t="shared" ca="1" si="5"/>
        <v>1038.0952380952381</v>
      </c>
      <c r="K16" s="37">
        <f ca="1">IF(H16=21,50,0)</f>
        <v>0</v>
      </c>
      <c r="L16" s="37">
        <f t="shared" ca="1" si="7"/>
        <v>0</v>
      </c>
      <c r="M16" s="37">
        <f>Užduotis!$C$31</f>
        <v>0</v>
      </c>
      <c r="N16" s="37">
        <f t="shared" ca="1" si="8"/>
        <v>32.204545454545453</v>
      </c>
      <c r="O16" s="37">
        <f t="shared" ca="1" si="9"/>
        <v>1070.2997835497836</v>
      </c>
      <c r="P16" s="37">
        <f t="shared" ca="1" si="10"/>
        <v>371.52205627705627</v>
      </c>
      <c r="Q16" s="37">
        <f t="shared" ca="1" si="11"/>
        <v>139.75554545454548</v>
      </c>
      <c r="R16" s="37">
        <f t="shared" ca="1" si="12"/>
        <v>148.34380952380951</v>
      </c>
      <c r="S16" s="37">
        <f t="shared" ca="1" si="13"/>
        <v>72.459047619047624</v>
      </c>
      <c r="T16" s="37">
        <f t="shared" ca="1" si="14"/>
        <v>32.108993506493505</v>
      </c>
      <c r="U16" s="37">
        <f t="shared" ca="1" si="15"/>
        <v>392.66739610389612</v>
      </c>
      <c r="V16" s="37">
        <f t="shared" ca="1" si="16"/>
        <v>677.63238744588739</v>
      </c>
      <c r="W16" s="37">
        <f t="shared" ca="1" si="17"/>
        <v>18.944306168831169</v>
      </c>
      <c r="X16" s="37">
        <f ca="1">VLOOKUP(D16,Darbuotojai!B12:F26,5,0)</f>
        <v>150</v>
      </c>
      <c r="Y16" s="37">
        <f ca="1">'Darbo užmokestis'!V16-'Darbo užmokestis'!X16</f>
        <v>527.63238744588739</v>
      </c>
    </row>
    <row r="17" spans="1:25" x14ac:dyDescent="0.25">
      <c r="A17" s="23" t="s">
        <v>154</v>
      </c>
      <c r="B17" s="39">
        <v>3</v>
      </c>
      <c r="C17" s="38">
        <f t="shared" si="1"/>
        <v>46112</v>
      </c>
      <c r="D17" s="1" t="str">
        <f>Darbuotojai!B13</f>
        <v>Darbuotojas8</v>
      </c>
      <c r="E17" s="23">
        <f>Darbuotojai!D13</f>
        <v>1090</v>
      </c>
      <c r="F17" s="37">
        <f>VLOOKUP(D17,Darbuotojai!B13:E27,4,FALSE)</f>
        <v>6.1931818181818183</v>
      </c>
      <c r="G17" s="23">
        <f t="shared" si="2"/>
        <v>21</v>
      </c>
      <c r="H17" s="23">
        <f t="shared" ca="1" si="3"/>
        <v>19</v>
      </c>
      <c r="I17" s="23">
        <f t="shared" ca="1" si="4"/>
        <v>152</v>
      </c>
      <c r="J17" s="37">
        <f t="shared" ca="1" si="5"/>
        <v>986.19047619047615</v>
      </c>
      <c r="K17" s="37">
        <f t="shared" ca="1" si="6"/>
        <v>0</v>
      </c>
      <c r="L17" s="37">
        <f t="shared" ca="1" si="7"/>
        <v>0</v>
      </c>
      <c r="M17" s="37">
        <f>Užduotis!$C$31</f>
        <v>0</v>
      </c>
      <c r="N17" s="37">
        <f t="shared" ca="1" si="8"/>
        <v>64.409090909090907</v>
      </c>
      <c r="O17" s="37">
        <f t="shared" ca="1" si="9"/>
        <v>1050.5995670995671</v>
      </c>
      <c r="P17" s="37">
        <f t="shared" ca="1" si="10"/>
        <v>376.64411255411255</v>
      </c>
      <c r="Q17" s="37">
        <f t="shared" ca="1" si="11"/>
        <v>134.79109090909091</v>
      </c>
      <c r="R17" s="37">
        <f t="shared" ca="1" si="12"/>
        <v>140.92661904761906</v>
      </c>
      <c r="S17" s="37">
        <f t="shared" ca="1" si="13"/>
        <v>68.83609523809524</v>
      </c>
      <c r="T17" s="37">
        <f t="shared" ca="1" si="14"/>
        <v>31.517987012987014</v>
      </c>
      <c r="U17" s="37">
        <f t="shared" ca="1" si="15"/>
        <v>376.07179220779227</v>
      </c>
      <c r="V17" s="37">
        <f t="shared" ca="1" si="16"/>
        <v>674.52777489177492</v>
      </c>
      <c r="W17" s="37">
        <f t="shared" ca="1" si="17"/>
        <v>18.595612337662338</v>
      </c>
      <c r="X17" s="37">
        <f ca="1">VLOOKUP(D17,Darbuotojai!B13:F27,5,0)</f>
        <v>200</v>
      </c>
      <c r="Y17" s="37">
        <f ca="1">'Darbo užmokestis'!V17-'Darbo užmokestis'!X17</f>
        <v>474.52777489177492</v>
      </c>
    </row>
    <row r="18" spans="1:25" x14ac:dyDescent="0.25">
      <c r="A18" s="23" t="s">
        <v>154</v>
      </c>
      <c r="B18" s="39">
        <v>3</v>
      </c>
      <c r="C18" s="38">
        <f t="shared" si="1"/>
        <v>46112</v>
      </c>
      <c r="D18" s="1" t="str">
        <f>Darbuotojai!B14</f>
        <v>Darbuotojas9</v>
      </c>
      <c r="E18" s="23">
        <f>Darbuotojai!D14</f>
        <v>980</v>
      </c>
      <c r="F18" s="37">
        <f>VLOOKUP(D18,Darbuotojai!B14:E28,4,FALSE)</f>
        <v>5.5681818181818183</v>
      </c>
      <c r="G18" s="23">
        <f t="shared" si="2"/>
        <v>21</v>
      </c>
      <c r="H18" s="23">
        <f t="shared" ca="1" si="3"/>
        <v>15</v>
      </c>
      <c r="I18" s="23">
        <f t="shared" ca="1" si="4"/>
        <v>120</v>
      </c>
      <c r="J18" s="37">
        <f t="shared" ca="1" si="5"/>
        <v>700</v>
      </c>
      <c r="K18" s="37">
        <f t="shared" ca="1" si="6"/>
        <v>0</v>
      </c>
      <c r="L18" s="37">
        <f t="shared" ca="1" si="7"/>
        <v>267.27272727272725</v>
      </c>
      <c r="M18" s="37">
        <f>Užduotis!$C$31</f>
        <v>0</v>
      </c>
      <c r="N18" s="37">
        <f t="shared" ca="1" si="8"/>
        <v>0</v>
      </c>
      <c r="O18" s="37">
        <f t="shared" ca="1" si="9"/>
        <v>967.27272727272725</v>
      </c>
      <c r="P18" s="37">
        <f t="shared" ca="1" si="10"/>
        <v>398.30909090909091</v>
      </c>
      <c r="Q18" s="37">
        <f t="shared" ca="1" si="11"/>
        <v>113.79272727272729</v>
      </c>
      <c r="R18" s="37">
        <f t="shared" ca="1" si="12"/>
        <v>138.22327272727273</v>
      </c>
      <c r="S18" s="37">
        <f t="shared" ca="1" si="13"/>
        <v>48.86</v>
      </c>
      <c r="T18" s="37">
        <f t="shared" ca="1" si="14"/>
        <v>29.018181818181816</v>
      </c>
      <c r="U18" s="37">
        <f t="shared" ca="1" si="15"/>
        <v>329.89418181818183</v>
      </c>
      <c r="V18" s="37">
        <f t="shared" ca="1" si="16"/>
        <v>637.37854545454547</v>
      </c>
      <c r="W18" s="37">
        <f t="shared" ca="1" si="17"/>
        <v>17.120727272727272</v>
      </c>
      <c r="X18" s="37">
        <f ca="1">VLOOKUP(D18,Darbuotojai!B14:F28,5,0)</f>
        <v>150</v>
      </c>
      <c r="Y18" s="37">
        <f ca="1">'Darbo užmokestis'!V18-'Darbo užmokestis'!X18</f>
        <v>487.37854545454547</v>
      </c>
    </row>
    <row r="19" spans="1:25" x14ac:dyDescent="0.25">
      <c r="A19" s="23" t="s">
        <v>154</v>
      </c>
      <c r="B19" s="39">
        <v>3</v>
      </c>
      <c r="C19" s="38">
        <f t="shared" si="1"/>
        <v>46112</v>
      </c>
      <c r="D19" s="1" t="str">
        <f>Darbuotojai!B15</f>
        <v>Darbuotojas10</v>
      </c>
      <c r="E19" s="23">
        <f>Darbuotojai!D15</f>
        <v>980</v>
      </c>
      <c r="F19" s="37">
        <f>VLOOKUP(D19,Darbuotojai!B15:E29,4,FALSE)</f>
        <v>5.5681818181818183</v>
      </c>
      <c r="G19" s="23">
        <f t="shared" si="2"/>
        <v>21</v>
      </c>
      <c r="H19" s="23">
        <f t="shared" ca="1" si="3"/>
        <v>17</v>
      </c>
      <c r="I19" s="23">
        <f t="shared" ca="1" si="4"/>
        <v>136</v>
      </c>
      <c r="J19" s="37">
        <f t="shared" ca="1" si="5"/>
        <v>793.33333333333337</v>
      </c>
      <c r="K19" s="37">
        <f t="shared" ca="1" si="6"/>
        <v>0</v>
      </c>
      <c r="L19" s="37">
        <f t="shared" ca="1" si="7"/>
        <v>0</v>
      </c>
      <c r="M19" s="37">
        <f>Užduotis!$C$31</f>
        <v>0</v>
      </c>
      <c r="N19" s="37">
        <f t="shared" ca="1" si="8"/>
        <v>115.81818181818183</v>
      </c>
      <c r="O19" s="37">
        <f t="shared" ca="1" si="9"/>
        <v>909.15151515151524</v>
      </c>
      <c r="P19" s="37">
        <f t="shared" ca="1" si="10"/>
        <v>413.42060606060602</v>
      </c>
      <c r="Q19" s="37">
        <f t="shared" ca="1" si="11"/>
        <v>99.146181818181844</v>
      </c>
      <c r="R19" s="37">
        <f t="shared" ca="1" si="12"/>
        <v>113.36733333333333</v>
      </c>
      <c r="S19" s="37">
        <f t="shared" ca="1" si="13"/>
        <v>55.37466666666667</v>
      </c>
      <c r="T19" s="37">
        <f t="shared" ca="1" si="14"/>
        <v>27.274545454545457</v>
      </c>
      <c r="U19" s="37">
        <f t="shared" ca="1" si="15"/>
        <v>295.1627272727273</v>
      </c>
      <c r="V19" s="37">
        <f t="shared" ca="1" si="16"/>
        <v>613.98878787878789</v>
      </c>
      <c r="W19" s="37">
        <f t="shared" ca="1" si="17"/>
        <v>16.091981818181821</v>
      </c>
      <c r="X19" s="37">
        <f ca="1">VLOOKUP(D19,Darbuotojai!B15:F29,5,0)</f>
        <v>200</v>
      </c>
      <c r="Y19" s="37">
        <f ca="1">'Darbo užmokestis'!V19-'Darbo užmokestis'!X19</f>
        <v>413.98878787878789</v>
      </c>
    </row>
    <row r="20" spans="1:25" x14ac:dyDescent="0.25">
      <c r="A20" s="23" t="s">
        <v>154</v>
      </c>
      <c r="B20" s="39">
        <v>3</v>
      </c>
      <c r="C20" s="38">
        <f t="shared" si="1"/>
        <v>46112</v>
      </c>
      <c r="D20" s="1" t="str">
        <f>Darbuotojai!B16</f>
        <v>Darbuotojas11</v>
      </c>
      <c r="E20" s="23">
        <f>Darbuotojai!D16</f>
        <v>980</v>
      </c>
      <c r="F20" s="37">
        <f>VLOOKUP(D20,Darbuotojai!B16:E30,4,FALSE)</f>
        <v>5.5681818181818183</v>
      </c>
      <c r="G20" s="23">
        <f t="shared" si="2"/>
        <v>21</v>
      </c>
      <c r="H20" s="23">
        <f t="shared" ca="1" si="3"/>
        <v>16</v>
      </c>
      <c r="I20" s="23">
        <f t="shared" ca="1" si="4"/>
        <v>128</v>
      </c>
      <c r="J20" s="37">
        <f t="shared" ca="1" si="5"/>
        <v>746.66666666666663</v>
      </c>
      <c r="K20" s="37">
        <f t="shared" ca="1" si="6"/>
        <v>0</v>
      </c>
      <c r="L20" s="37">
        <f t="shared" ca="1" si="7"/>
        <v>222.72727272727275</v>
      </c>
      <c r="M20" s="37">
        <f>Užduotis!$C$31</f>
        <v>0</v>
      </c>
      <c r="N20" s="37">
        <f t="shared" ca="1" si="8"/>
        <v>0</v>
      </c>
      <c r="O20" s="37">
        <f t="shared" ca="1" si="9"/>
        <v>969.39393939393938</v>
      </c>
      <c r="P20" s="37">
        <f t="shared" ca="1" si="10"/>
        <v>397.75757575757575</v>
      </c>
      <c r="Q20" s="37">
        <f t="shared" ca="1" si="11"/>
        <v>114.32727272727273</v>
      </c>
      <c r="R20" s="37">
        <f t="shared" ca="1" si="12"/>
        <v>138.52639393939393</v>
      </c>
      <c r="S20" s="37">
        <f t="shared" ca="1" si="13"/>
        <v>52.117333333333335</v>
      </c>
      <c r="T20" s="37">
        <f t="shared" ca="1" si="14"/>
        <v>29.081818181818178</v>
      </c>
      <c r="U20" s="37">
        <f t="shared" ca="1" si="15"/>
        <v>334.05281818181817</v>
      </c>
      <c r="V20" s="37">
        <f t="shared" ca="1" si="16"/>
        <v>635.34112121212115</v>
      </c>
      <c r="W20" s="37">
        <f t="shared" ca="1" si="17"/>
        <v>17.158272727272728</v>
      </c>
      <c r="X20" s="37">
        <f ca="1">VLOOKUP(D20,Darbuotojai!B16:F30,5,0)</f>
        <v>150</v>
      </c>
      <c r="Y20" s="37">
        <f ca="1">'Darbo užmokestis'!V20-'Darbo užmokestis'!X20</f>
        <v>485.34112121212115</v>
      </c>
    </row>
    <row r="21" spans="1:25" x14ac:dyDescent="0.25">
      <c r="A21" s="23" t="s">
        <v>154</v>
      </c>
      <c r="B21" s="39">
        <v>3</v>
      </c>
      <c r="C21" s="38">
        <f t="shared" si="1"/>
        <v>46112</v>
      </c>
      <c r="D21" s="1" t="str">
        <f>Darbuotojai!B17</f>
        <v>Darbuotojas12</v>
      </c>
      <c r="E21" s="23">
        <f>Darbuotojai!D17</f>
        <v>980</v>
      </c>
      <c r="F21" s="37">
        <f>VLOOKUP(D21,Darbuotojai!B17:E31,4,FALSE)</f>
        <v>5.5681818181818183</v>
      </c>
      <c r="G21" s="23">
        <f t="shared" si="2"/>
        <v>21</v>
      </c>
      <c r="H21" s="23">
        <f t="shared" ca="1" si="3"/>
        <v>19</v>
      </c>
      <c r="I21" s="23">
        <f t="shared" ca="1" si="4"/>
        <v>152</v>
      </c>
      <c r="J21" s="37">
        <f t="shared" ca="1" si="5"/>
        <v>886.66666666666663</v>
      </c>
      <c r="K21" s="37">
        <f t="shared" ca="1" si="6"/>
        <v>0</v>
      </c>
      <c r="L21" s="37">
        <f t="shared" ca="1" si="7"/>
        <v>0</v>
      </c>
      <c r="M21" s="37">
        <f>Užduotis!$C$31</f>
        <v>0</v>
      </c>
      <c r="N21" s="37">
        <f t="shared" ca="1" si="8"/>
        <v>57.909090909090914</v>
      </c>
      <c r="O21" s="37">
        <f t="shared" ca="1" si="9"/>
        <v>944.57575757575751</v>
      </c>
      <c r="P21" s="37">
        <f t="shared" ca="1" si="10"/>
        <v>404.21030303030307</v>
      </c>
      <c r="Q21" s="37">
        <f t="shared" ca="1" si="11"/>
        <v>108.07309090909089</v>
      </c>
      <c r="R21" s="37">
        <f t="shared" ca="1" si="12"/>
        <v>126.70466666666665</v>
      </c>
      <c r="S21" s="37">
        <f t="shared" ca="1" si="13"/>
        <v>61.889333333333333</v>
      </c>
      <c r="T21" s="37">
        <f t="shared" ca="1" si="14"/>
        <v>28.337272727272723</v>
      </c>
      <c r="U21" s="37">
        <f t="shared" ca="1" si="15"/>
        <v>325.00436363636362</v>
      </c>
      <c r="V21" s="37">
        <f t="shared" ca="1" si="16"/>
        <v>619.57139393939383</v>
      </c>
      <c r="W21" s="37">
        <f t="shared" ca="1" si="17"/>
        <v>16.718990909090909</v>
      </c>
      <c r="X21" s="37">
        <f ca="1">VLOOKUP(D21,Darbuotojai!B17:F31,5,0)</f>
        <v>200</v>
      </c>
      <c r="Y21" s="37">
        <f ca="1">'Darbo užmokestis'!V21-'Darbo užmokestis'!X21</f>
        <v>419.57139393939383</v>
      </c>
    </row>
    <row r="22" spans="1:25" x14ac:dyDescent="0.25">
      <c r="A22" s="23" t="s">
        <v>154</v>
      </c>
      <c r="B22" s="39">
        <v>3</v>
      </c>
      <c r="C22" s="38">
        <f t="shared" si="1"/>
        <v>46112</v>
      </c>
      <c r="D22" s="1" t="str">
        <f>Darbuotojai!B18</f>
        <v>Darbuotojas13</v>
      </c>
      <c r="E22" s="23">
        <f>Darbuotojai!D18</f>
        <v>980</v>
      </c>
      <c r="F22" s="37">
        <f>VLOOKUP(D22,Darbuotojai!B18:E32,4,FALSE)</f>
        <v>5.5681818181818183</v>
      </c>
      <c r="G22" s="23">
        <f t="shared" si="2"/>
        <v>21</v>
      </c>
      <c r="H22" s="23">
        <f t="shared" ca="1" si="3"/>
        <v>21</v>
      </c>
      <c r="I22" s="23">
        <f t="shared" ca="1" si="4"/>
        <v>168</v>
      </c>
      <c r="J22" s="37">
        <f t="shared" ca="1" si="5"/>
        <v>980</v>
      </c>
      <c r="K22" s="37">
        <f t="shared" ca="1" si="6"/>
        <v>50</v>
      </c>
      <c r="L22" s="37">
        <f t="shared" ca="1" si="7"/>
        <v>0</v>
      </c>
      <c r="M22" s="37">
        <f>Užduotis!$C$31</f>
        <v>0</v>
      </c>
      <c r="N22" s="37">
        <f t="shared" ca="1" si="8"/>
        <v>0</v>
      </c>
      <c r="O22" s="37">
        <f t="shared" ca="1" si="9"/>
        <v>1030</v>
      </c>
      <c r="P22" s="37">
        <f t="shared" ca="1" si="10"/>
        <v>382</v>
      </c>
      <c r="Q22" s="37">
        <f t="shared" ca="1" si="11"/>
        <v>129.6</v>
      </c>
      <c r="R22" s="37">
        <f t="shared" ca="1" si="12"/>
        <v>147.18700000000001</v>
      </c>
      <c r="S22" s="37">
        <f t="shared" ca="1" si="13"/>
        <v>68.403999999999996</v>
      </c>
      <c r="T22" s="37">
        <f t="shared" ca="1" si="14"/>
        <v>30.9</v>
      </c>
      <c r="U22" s="37">
        <f t="shared" ca="1" si="15"/>
        <v>376.09100000000001</v>
      </c>
      <c r="V22" s="37">
        <f t="shared" ca="1" si="16"/>
        <v>653.90899999999999</v>
      </c>
      <c r="W22" s="37">
        <f t="shared" ca="1" si="17"/>
        <v>18.231000000000002</v>
      </c>
      <c r="X22" s="37">
        <f ca="1">VLOOKUP(D22,Darbuotojai!B18:F32,5,0)</f>
        <v>200</v>
      </c>
      <c r="Y22" s="37">
        <f ca="1">'Darbo užmokestis'!V22-'Darbo užmokestis'!X22</f>
        <v>453.90899999999999</v>
      </c>
    </row>
    <row r="23" spans="1:25" x14ac:dyDescent="0.25">
      <c r="A23" s="23" t="s">
        <v>154</v>
      </c>
      <c r="B23" s="39">
        <v>3</v>
      </c>
      <c r="C23" s="38">
        <f t="shared" si="1"/>
        <v>46112</v>
      </c>
      <c r="D23" s="1" t="str">
        <f>Darbuotojai!B19</f>
        <v>Darbuotojas14</v>
      </c>
      <c r="E23" s="23">
        <f>Darbuotojai!D19</f>
        <v>980</v>
      </c>
      <c r="F23" s="37">
        <f>VLOOKUP(D23,Darbuotojai!B19:E33,4,FALSE)</f>
        <v>5.5681818181818183</v>
      </c>
      <c r="G23" s="23">
        <f t="shared" si="2"/>
        <v>21</v>
      </c>
      <c r="H23" s="23">
        <f t="shared" ca="1" si="3"/>
        <v>18</v>
      </c>
      <c r="I23" s="23">
        <f t="shared" ca="1" si="4"/>
        <v>144</v>
      </c>
      <c r="J23" s="37">
        <f t="shared" ca="1" si="5"/>
        <v>840</v>
      </c>
      <c r="K23" s="37">
        <f t="shared" ca="1" si="6"/>
        <v>0</v>
      </c>
      <c r="L23" s="37">
        <f t="shared" ca="1" si="7"/>
        <v>0</v>
      </c>
      <c r="M23" s="37">
        <f>Užduotis!$C$31</f>
        <v>0</v>
      </c>
      <c r="N23" s="37">
        <f t="shared" ca="1" si="8"/>
        <v>86.86363636363636</v>
      </c>
      <c r="O23" s="37">
        <f t="shared" ca="1" si="9"/>
        <v>926.86363636363637</v>
      </c>
      <c r="P23" s="37">
        <f t="shared" ca="1" si="10"/>
        <v>408.81545454545454</v>
      </c>
      <c r="Q23" s="37">
        <f t="shared" ca="1" si="11"/>
        <v>103.60963636363635</v>
      </c>
      <c r="R23" s="37">
        <f t="shared" ca="1" si="12"/>
        <v>120.036</v>
      </c>
      <c r="S23" s="37">
        <f t="shared" ca="1" si="13"/>
        <v>58.631999999999998</v>
      </c>
      <c r="T23" s="37">
        <f t="shared" ca="1" si="14"/>
        <v>27.80590909090909</v>
      </c>
      <c r="U23" s="37">
        <f t="shared" ca="1" si="15"/>
        <v>310.08354545454546</v>
      </c>
      <c r="V23" s="37">
        <f t="shared" ca="1" si="16"/>
        <v>616.78009090909086</v>
      </c>
      <c r="W23" s="37">
        <f t="shared" ca="1" si="17"/>
        <v>16.405486363636363</v>
      </c>
      <c r="X23" s="37">
        <f ca="1">VLOOKUP(D23,Darbuotojai!B19:F33,5,0)</f>
        <v>200</v>
      </c>
      <c r="Y23" s="37">
        <f ca="1">'Darbo užmokestis'!V23-'Darbo užmokestis'!X23</f>
        <v>416.78009090909086</v>
      </c>
    </row>
    <row r="24" spans="1:25" x14ac:dyDescent="0.25">
      <c r="A24" s="23" t="s">
        <v>154</v>
      </c>
      <c r="B24" s="39">
        <v>3</v>
      </c>
      <c r="C24" s="38">
        <f t="shared" si="1"/>
        <v>46112</v>
      </c>
      <c r="D24" s="1" t="str">
        <f>Darbuotojai!B20</f>
        <v>Darbuotojas15</v>
      </c>
      <c r="E24" s="23">
        <f>Darbuotojai!D20</f>
        <v>980</v>
      </c>
      <c r="F24" s="37">
        <f>VLOOKUP(D24,Darbuotojai!B20:E34,4,FALSE)</f>
        <v>5.5681818181818183</v>
      </c>
      <c r="G24" s="23">
        <f t="shared" si="2"/>
        <v>21</v>
      </c>
      <c r="H24" s="23">
        <f t="shared" ca="1" si="3"/>
        <v>16</v>
      </c>
      <c r="I24" s="23">
        <f t="shared" ca="1" si="4"/>
        <v>128</v>
      </c>
      <c r="J24" s="37">
        <f t="shared" ca="1" si="5"/>
        <v>746.66666666666663</v>
      </c>
      <c r="K24" s="37">
        <f t="shared" ca="1" si="6"/>
        <v>0</v>
      </c>
      <c r="L24" s="37">
        <f t="shared" ca="1" si="7"/>
        <v>222.72727272727275</v>
      </c>
      <c r="M24" s="37">
        <f>Užduotis!$C$31</f>
        <v>0</v>
      </c>
      <c r="N24" s="37">
        <f t="shared" ca="1" si="8"/>
        <v>0</v>
      </c>
      <c r="O24" s="37">
        <f t="shared" ca="1" si="9"/>
        <v>969.39393939393938</v>
      </c>
      <c r="P24" s="37">
        <f t="shared" ca="1" si="10"/>
        <v>397.75757575757575</v>
      </c>
      <c r="Q24" s="37">
        <f t="shared" ca="1" si="11"/>
        <v>114.32727272727273</v>
      </c>
      <c r="R24" s="37">
        <f t="shared" ca="1" si="12"/>
        <v>138.52639393939393</v>
      </c>
      <c r="S24" s="37">
        <f t="shared" ca="1" si="13"/>
        <v>52.117333333333335</v>
      </c>
      <c r="T24" s="37">
        <f t="shared" ca="1" si="14"/>
        <v>29.081818181818178</v>
      </c>
      <c r="U24" s="37">
        <f t="shared" ca="1" si="15"/>
        <v>334.05281818181817</v>
      </c>
      <c r="V24" s="37">
        <f t="shared" ca="1" si="16"/>
        <v>635.34112121212115</v>
      </c>
      <c r="W24" s="37">
        <f t="shared" ca="1" si="17"/>
        <v>17.158272727272728</v>
      </c>
      <c r="X24" s="37">
        <f ca="1">VLOOKUP(D24,Darbuotojai!B20:F34,5,0)</f>
        <v>200</v>
      </c>
      <c r="Y24" s="37">
        <f ca="1">'Darbo užmokestis'!V24-'Darbo užmokestis'!X24</f>
        <v>435.34112121212115</v>
      </c>
    </row>
  </sheetData>
  <sortState xmlns:xlrd2="http://schemas.microsoft.com/office/spreadsheetml/2017/richdata2" ref="D10:Y24">
    <sortCondition descending="1" ref="E10:E24"/>
  </sortState>
  <mergeCells count="4">
    <mergeCell ref="J1:K1"/>
    <mergeCell ref="J2:K2"/>
    <mergeCell ref="N1:Q1"/>
    <mergeCell ref="N2:Q2"/>
  </mergeCells>
  <conditionalFormatting sqref="V10:V24">
    <cfRule type="top10" dxfId="0" priority="1" bottom="1" rank="5"/>
    <cfRule type="top10" priority="2" bottom="1" rank="5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8"/>
  <sheetViews>
    <sheetView tabSelected="1" workbookViewId="0">
      <selection activeCell="F6" sqref="F6"/>
    </sheetView>
  </sheetViews>
  <sheetFormatPr defaultRowHeight="15" x14ac:dyDescent="0.25"/>
  <cols>
    <col min="1" max="1" width="7.140625" customWidth="1"/>
    <col min="2" max="2" width="47.140625" customWidth="1"/>
    <col min="3" max="3" width="16.7109375" customWidth="1"/>
    <col min="4" max="4" width="13.7109375" customWidth="1"/>
    <col min="5" max="5" width="15.42578125" customWidth="1"/>
  </cols>
  <sheetData>
    <row r="3" spans="1:3" x14ac:dyDescent="0.25">
      <c r="A3" s="1">
        <v>1</v>
      </c>
      <c r="B3" s="1" t="s">
        <v>109</v>
      </c>
      <c r="C3" s="1">
        <f ca="1">COUNTIF('Darbo užmokestis'!H10:H24,"&gt;=18")</f>
        <v>8</v>
      </c>
    </row>
    <row r="4" spans="1:3" ht="30" x14ac:dyDescent="0.25">
      <c r="A4" s="1">
        <v>2</v>
      </c>
      <c r="B4" s="29" t="s">
        <v>120</v>
      </c>
      <c r="C4" s="34"/>
    </row>
    <row r="5" spans="1:3" x14ac:dyDescent="0.25">
      <c r="A5" s="1">
        <v>3</v>
      </c>
      <c r="B5" s="1" t="s">
        <v>107</v>
      </c>
      <c r="C5" s="34">
        <f ca="1">AVERAGE('Darbo užmokestis'!X10:X24)</f>
        <v>183.33333333333334</v>
      </c>
    </row>
    <row r="6" spans="1:3" ht="30" x14ac:dyDescent="0.25">
      <c r="A6" s="1">
        <v>4</v>
      </c>
      <c r="B6" s="29" t="s">
        <v>119</v>
      </c>
      <c r="C6" s="34"/>
    </row>
    <row r="7" spans="1:3" x14ac:dyDescent="0.25">
      <c r="A7" s="1">
        <v>5</v>
      </c>
      <c r="B7" s="1" t="s">
        <v>108</v>
      </c>
      <c r="C7" s="34">
        <f ca="1">MEDIAN('Darbo užmokestis'!P10:P24)</f>
        <v>376.64411255411255</v>
      </c>
    </row>
    <row r="8" spans="1:3" x14ac:dyDescent="0.25">
      <c r="A8" s="1">
        <v>6</v>
      </c>
      <c r="B8" s="1" t="s">
        <v>110</v>
      </c>
      <c r="C8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5</vt:i4>
      </vt:variant>
    </vt:vector>
  </HeadingPairs>
  <TitlesOfParts>
    <vt:vector size="5" baseType="lpstr">
      <vt:lpstr>Užduotis</vt:lpstr>
      <vt:lpstr>Pareigybės</vt:lpstr>
      <vt:lpstr>Darbuotojai</vt:lpstr>
      <vt:lpstr>Darbo užmokestis</vt:lpstr>
      <vt:lpstr>suvestinė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Mokinys_3</cp:lastModifiedBy>
  <dcterms:created xsi:type="dcterms:W3CDTF">2018-12-13T14:39:32Z</dcterms:created>
  <dcterms:modified xsi:type="dcterms:W3CDTF">2026-05-18T10:42:21Z</dcterms:modified>
</cp:coreProperties>
</file>