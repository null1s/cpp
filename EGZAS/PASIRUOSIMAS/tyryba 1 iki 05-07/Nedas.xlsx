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80F4B23F-7D81-4FAA-ACA0-96DBBA54537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areigybės" sheetId="5" r:id="rId1"/>
    <sheet name="Darbuotojai" sheetId="2" r:id="rId2"/>
    <sheet name="Užduotis" sheetId="4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3" l="1"/>
  <c r="F12" i="3"/>
  <c r="F11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10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F13" i="3"/>
  <c r="F14" i="3"/>
  <c r="F15" i="3"/>
  <c r="F16" i="3"/>
  <c r="F17" i="3"/>
  <c r="F18" i="3"/>
  <c r="F19" i="3"/>
  <c r="F20" i="3"/>
  <c r="F21" i="3"/>
  <c r="F22" i="3"/>
  <c r="F23" i="3"/>
  <c r="F24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10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F7" i="2"/>
  <c r="X11" i="3" s="1"/>
  <c r="F8" i="2"/>
  <c r="X12" i="3" s="1"/>
  <c r="F9" i="2"/>
  <c r="X13" i="3" s="1"/>
  <c r="F10" i="2"/>
  <c r="X14" i="3" s="1"/>
  <c r="F11" i="2"/>
  <c r="X15" i="3" s="1"/>
  <c r="F12" i="2"/>
  <c r="X16" i="3" s="1"/>
  <c r="F13" i="2"/>
  <c r="X17" i="3" s="1"/>
  <c r="F14" i="2"/>
  <c r="X18" i="3" s="1"/>
  <c r="F15" i="2"/>
  <c r="X19" i="3" s="1"/>
  <c r="F16" i="2"/>
  <c r="X20" i="3" s="1"/>
  <c r="F17" i="2"/>
  <c r="X21" i="3" s="1"/>
  <c r="F18" i="2"/>
  <c r="X22" i="3" s="1"/>
  <c r="F19" i="2"/>
  <c r="X23" i="3" s="1"/>
  <c r="F20" i="2"/>
  <c r="X24" i="3" s="1"/>
  <c r="F6" i="2"/>
  <c r="X10" i="3" s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6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6" l="1"/>
  <c r="C3" i="6"/>
  <c r="M22" i="3"/>
  <c r="M20" i="3"/>
  <c r="M19" i="3"/>
  <c r="M21" i="3"/>
  <c r="M18" i="3"/>
  <c r="M17" i="3"/>
  <c r="M16" i="3"/>
  <c r="M15" i="3"/>
  <c r="M14" i="3"/>
  <c r="M13" i="3"/>
  <c r="M12" i="3"/>
  <c r="M24" i="3"/>
  <c r="M23" i="3"/>
  <c r="M11" i="3"/>
  <c r="M10" i="3"/>
  <c r="K22" i="3"/>
  <c r="K20" i="3"/>
  <c r="K19" i="3"/>
  <c r="K18" i="3"/>
  <c r="K21" i="3"/>
  <c r="K17" i="3"/>
  <c r="K16" i="3"/>
  <c r="K15" i="3"/>
  <c r="K14" i="3"/>
  <c r="K13" i="3"/>
  <c r="K12" i="3"/>
  <c r="K24" i="3"/>
  <c r="K23" i="3"/>
  <c r="K11" i="3"/>
  <c r="J10" i="3"/>
  <c r="K10" i="3"/>
  <c r="I19" i="3"/>
  <c r="J19" i="3"/>
  <c r="I17" i="3"/>
  <c r="J17" i="3"/>
  <c r="I16" i="3"/>
  <c r="J16" i="3"/>
  <c r="I18" i="3"/>
  <c r="J18" i="3"/>
  <c r="I15" i="3"/>
  <c r="J15" i="3"/>
  <c r="I14" i="3"/>
  <c r="J14" i="3"/>
  <c r="I13" i="3"/>
  <c r="J13" i="3"/>
  <c r="I24" i="3"/>
  <c r="J24" i="3"/>
  <c r="I12" i="3"/>
  <c r="J12" i="3"/>
  <c r="I23" i="3"/>
  <c r="J23" i="3"/>
  <c r="I11" i="3"/>
  <c r="J11" i="3"/>
  <c r="I22" i="3"/>
  <c r="J22" i="3"/>
  <c r="I21" i="3"/>
  <c r="J21" i="3"/>
  <c r="I20" i="3"/>
  <c r="J20" i="3"/>
  <c r="I10" i="3"/>
  <c r="X7" i="3"/>
  <c r="L13" i="3" l="1"/>
  <c r="N16" i="3"/>
  <c r="L12" i="3"/>
  <c r="L14" i="3"/>
  <c r="L11" i="3"/>
  <c r="L18" i="3"/>
  <c r="L24" i="3"/>
  <c r="L22" i="3"/>
  <c r="O22" i="3" s="1"/>
  <c r="L15" i="3"/>
  <c r="L16" i="3"/>
  <c r="L20" i="3"/>
  <c r="O20" i="3" s="1"/>
  <c r="N24" i="3"/>
  <c r="L21" i="3"/>
  <c r="L19" i="3"/>
  <c r="N21" i="3"/>
  <c r="L23" i="3"/>
  <c r="N17" i="3"/>
  <c r="N13" i="3"/>
  <c r="N18" i="3"/>
  <c r="O18" i="3" s="1"/>
  <c r="L10" i="3"/>
  <c r="N11" i="3"/>
  <c r="N23" i="3"/>
  <c r="L17" i="3"/>
  <c r="O17" i="3" s="1"/>
  <c r="N12" i="3"/>
  <c r="N20" i="3"/>
  <c r="N15" i="3"/>
  <c r="N19" i="3"/>
  <c r="N14" i="3"/>
  <c r="N22" i="3"/>
  <c r="N10" i="3"/>
  <c r="M7" i="3"/>
  <c r="K7" i="3"/>
  <c r="W20" i="3" l="1"/>
  <c r="R20" i="3"/>
  <c r="W17" i="3"/>
  <c r="R17" i="3"/>
  <c r="W18" i="3"/>
  <c r="R18" i="3"/>
  <c r="W22" i="3"/>
  <c r="R22" i="3"/>
  <c r="S20" i="3"/>
  <c r="T20" i="3"/>
  <c r="S17" i="3"/>
  <c r="T17" i="3"/>
  <c r="S22" i="3"/>
  <c r="T22" i="3"/>
  <c r="S18" i="3"/>
  <c r="T18" i="3"/>
  <c r="P20" i="3" a="1"/>
  <c r="P20" i="3" s="1"/>
  <c r="Q20" i="3" s="1"/>
  <c r="P22" i="3" a="1"/>
  <c r="P22" i="3" s="1"/>
  <c r="Q22" i="3" s="1"/>
  <c r="P18" i="3" a="1"/>
  <c r="P18" i="3" s="1"/>
  <c r="Q18" i="3" s="1"/>
  <c r="P17" i="3" a="1"/>
  <c r="P17" i="3" s="1"/>
  <c r="Q17" i="3" s="1"/>
  <c r="O24" i="3"/>
  <c r="O11" i="3"/>
  <c r="O14" i="3"/>
  <c r="O12" i="3"/>
  <c r="O19" i="3"/>
  <c r="O21" i="3"/>
  <c r="O23" i="3"/>
  <c r="O15" i="3"/>
  <c r="O16" i="3"/>
  <c r="O13" i="3"/>
  <c r="L7" i="3"/>
  <c r="N7" i="3"/>
  <c r="O10" i="3"/>
  <c r="J7" i="3"/>
  <c r="W13" i="3" l="1"/>
  <c r="R13" i="3"/>
  <c r="W16" i="3"/>
  <c r="R16" i="3"/>
  <c r="W11" i="3"/>
  <c r="R11" i="3"/>
  <c r="W15" i="3"/>
  <c r="R15" i="3"/>
  <c r="W21" i="3"/>
  <c r="R21" i="3"/>
  <c r="W12" i="3"/>
  <c r="R12" i="3"/>
  <c r="W14" i="3"/>
  <c r="R14" i="3"/>
  <c r="W24" i="3"/>
  <c r="R24" i="3"/>
  <c r="W23" i="3"/>
  <c r="R23" i="3"/>
  <c r="W19" i="3"/>
  <c r="R19" i="3"/>
  <c r="W10" i="3"/>
  <c r="R10" i="3"/>
  <c r="S12" i="3"/>
  <c r="T12" i="3"/>
  <c r="S11" i="3"/>
  <c r="T11" i="3"/>
  <c r="S24" i="3"/>
  <c r="T24" i="3"/>
  <c r="S13" i="3"/>
  <c r="T13" i="3"/>
  <c r="S14" i="3"/>
  <c r="T14" i="3"/>
  <c r="S16" i="3"/>
  <c r="T16" i="3"/>
  <c r="S15" i="3"/>
  <c r="T15" i="3"/>
  <c r="S21" i="3"/>
  <c r="T21" i="3"/>
  <c r="S23" i="3"/>
  <c r="T23" i="3"/>
  <c r="S19" i="3"/>
  <c r="T19" i="3"/>
  <c r="S10" i="3"/>
  <c r="T10" i="3"/>
  <c r="S2" i="3"/>
  <c r="S1" i="3"/>
  <c r="L2" i="3"/>
  <c r="U20" i="3"/>
  <c r="V20" i="3" s="1"/>
  <c r="Y20" i="3" s="1"/>
  <c r="U18" i="3"/>
  <c r="V18" i="3" s="1"/>
  <c r="Y18" i="3" s="1"/>
  <c r="U22" i="3"/>
  <c r="V22" i="3" s="1"/>
  <c r="Y22" i="3" s="1"/>
  <c r="U17" i="3"/>
  <c r="V17" i="3" s="1"/>
  <c r="Y17" i="3" s="1"/>
  <c r="P24" i="3" a="1"/>
  <c r="P24" i="3" s="1"/>
  <c r="Q24" i="3" s="1"/>
  <c r="P14" i="3" a="1"/>
  <c r="P14" i="3" s="1"/>
  <c r="Q14" i="3" s="1"/>
  <c r="P11" i="3" a="1"/>
  <c r="P11" i="3" s="1"/>
  <c r="Q11" i="3" s="1"/>
  <c r="P16" i="3" a="1"/>
  <c r="P16" i="3" s="1"/>
  <c r="Q16" i="3" s="1"/>
  <c r="P13" i="3" a="1"/>
  <c r="P13" i="3" s="1"/>
  <c r="Q13" i="3" s="1"/>
  <c r="P15" i="3" a="1"/>
  <c r="P15" i="3" s="1"/>
  <c r="Q15" i="3" s="1"/>
  <c r="P23" i="3" a="1"/>
  <c r="P23" i="3" s="1"/>
  <c r="Q23" i="3" s="1"/>
  <c r="P21" i="3" a="1"/>
  <c r="P21" i="3" s="1"/>
  <c r="Q21" i="3" s="1"/>
  <c r="P19" i="3" a="1"/>
  <c r="P19" i="3" s="1"/>
  <c r="Q19" i="3" s="1"/>
  <c r="P12" i="3" a="1"/>
  <c r="P12" i="3" s="1"/>
  <c r="Q12" i="3" s="1"/>
  <c r="P10" i="3" a="1"/>
  <c r="P10" i="3" s="1"/>
  <c r="O7" i="3"/>
  <c r="C6" i="6" l="1"/>
  <c r="Q10" i="3"/>
  <c r="C8" i="6" s="1"/>
  <c r="C7" i="6"/>
  <c r="W7" i="3"/>
  <c r="U12" i="3"/>
  <c r="V12" i="3" s="1"/>
  <c r="Y12" i="3" s="1"/>
  <c r="U14" i="3"/>
  <c r="V14" i="3" s="1"/>
  <c r="Y14" i="3" s="1"/>
  <c r="U10" i="3"/>
  <c r="V10" i="3" s="1"/>
  <c r="Y10" i="3" s="1"/>
  <c r="U21" i="3"/>
  <c r="V21" i="3" s="1"/>
  <c r="Y21" i="3" s="1"/>
  <c r="U23" i="3"/>
  <c r="V23" i="3" s="1"/>
  <c r="Y23" i="3" s="1"/>
  <c r="T7" i="3"/>
  <c r="U19" i="3"/>
  <c r="V19" i="3" s="1"/>
  <c r="Y19" i="3" s="1"/>
  <c r="U15" i="3"/>
  <c r="V15" i="3" s="1"/>
  <c r="Y15" i="3" s="1"/>
  <c r="U13" i="3"/>
  <c r="V13" i="3" s="1"/>
  <c r="Y13" i="3" s="1"/>
  <c r="U16" i="3"/>
  <c r="V16" i="3" s="1"/>
  <c r="Y16" i="3" s="1"/>
  <c r="U11" i="3"/>
  <c r="V11" i="3" s="1"/>
  <c r="P7" i="3"/>
  <c r="Y11" i="3" l="1"/>
  <c r="C4" i="6"/>
  <c r="Q7" i="3"/>
  <c r="U24" i="3"/>
  <c r="V24" i="3" s="1"/>
  <c r="S7" i="3"/>
  <c r="R7" i="3"/>
  <c r="V7" i="3" l="1"/>
  <c r="Y24" i="3"/>
  <c r="Y7" i="3" s="1"/>
  <c r="U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<sst xmlns="http://schemas.openxmlformats.org/spreadsheetml/2006/main" count="251" uniqueCount="172">
  <si>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</si>
  <si>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</si>
  <si>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</si>
  <si>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</si>
  <si>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</si>
  <si>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</si>
  <si>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</si>
  <si>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</si>
  <si>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</si>
  <si>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</si>
  <si>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</si>
  <si>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</si>
  <si>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</si>
  <si>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</si>
  <si>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</si>
  <si>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</si>
  <si>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</si>
  <si>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</si>
  <si>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</si>
  <si>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</si>
  <si>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</si>
  <si>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</si>
  <si>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</si>
  <si>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</si>
  <si>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</si>
  <si>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</si>
  <si>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</si>
  <si>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</si>
  <si>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</si>
  <si>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</si>
  <si>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</si>
  <si>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</si>
  <si>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</si>
  <si>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</si>
  <si>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</si>
  <si>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</si>
  <si>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</si>
  <si>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</si>
  <si>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</si>
  <si>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</si>
  <si>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</si>
  <si>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</si>
  <si>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</si>
  <si>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</si>
  <si>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</si>
  <si>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</si>
  <si>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</si>
  <si>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</si>
  <si>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</si>
  <si>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</si>
  <si>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</si>
  <si>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</si>
  <si>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</si>
  <si>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</si>
  <si>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</si>
  <si>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</si>
  <si>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</si>
  <si>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</si>
  <si>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</si>
  <si>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</si>
  <si>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</si>
  <si>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</si>
  <si>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</si>
  <si>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</si>
  <si>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</si>
  <si>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</si>
  <si>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</si>
  <si>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</si>
  <si>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</si>
  <si>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</si>
  <si>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</si>
  <si>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</si>
  <si>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</si>
  <si>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</si>
  <si>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</si>
  <si>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</si>
  <si>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</si>
  <si>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</si>
  <si>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</si>
  <si>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</si>
  <si>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</si>
  <si>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</si>
  <si>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</si>
  <si>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</si>
  <si>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</si>
  <si>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</si>
  <si>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</si>
  <si>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</si>
  <si>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</si>
  <si>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</si>
  <si>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</si>
  <si>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</si>
  <si>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</si>
  <si>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</si>
  <si>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</si>
  <si>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</si>
  <si>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</si>
  <si>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</si>
  <si>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</si>
  <si>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</si>
  <si>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</si>
  <si>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</si>
  <si>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</si>
  <si>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</si>
  <si>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</si>
  <si>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</si>
  <si>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</si>
  <si>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</si>
  <si>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</si>
  <si>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</si>
  <si>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</si>
  <si>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</si>
  <si>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</si>
  <si>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</si>
  <si>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</si>
  <si>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</si>
  <si>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</si>
  <si>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</si>
  <si>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</si>
  <si>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</si>
  <si>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</si>
  <si>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</si>
  <si>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</si>
  <si>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</si>
  <si>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</si>
  <si>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</si>
  <si>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</si>
  <si>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</si>
  <si>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</si>
  <si>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</si>
  <si>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</si>
  <si>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</si>
  <si>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</si>
  <si>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</si>
  <si>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</si>
  <si>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</si>
  <si>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</si>
  <si>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</si>
  <si>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</si>
  <si>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</si>
  <si>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</si>
  <si>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</si>
  <si>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</si>
  <si>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</si>
  <si>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</si>
  <si>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</si>
  <si>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</si>
  <si>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</si>
  <si>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</si>
  <si>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</si>
  <si>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</si>
  <si>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</si>
  <si>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</si>
  <si>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</si>
  <si>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</si>
  <si>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</si>
  <si>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</si>
  <si>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</si>
  <si>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</si>
  <si>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</si>
  <si>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</si>
  <si>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</si>
  <si>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</si>
  <si>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</si>
  <si>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</si>
  <si>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</si>
  <si>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</si>
  <si>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</si>
  <si>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</si>
  <si>
    <t>Kovas</t>
  </si>
  <si>
    <t>darbo užmokestis</t>
  </si>
  <si>
    <t>NPD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</si>
</sst>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0" fontId="8" fillId="0" borderId="1" xfId="0" applyFont="1" applyBorder="1" applyAlignment="1">
      <alignment horizontal="center"/>
    </xf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</cellXfs>
  <cellStyles count="3">
    <cellStyle name="Įprastas" xfId="0" builtinId="0"/>
    <cellStyle name="Procentai" xfId="2" builtinId="5"/>
    <cellStyle name="Valiuta" xfId="1" builtinId="4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B6" sqref="B6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C34" sqref="C34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>
        <v>1</v>
      </c>
      <c r="B6" s="1" t="s">
        <v>154</v>
      </c>
      <c r="C6" s="1" t="str">
        <f>Pareigybės!B4</f>
        <v>Vadovas</v>
      </c>
      <c r="D6" s="1">
        <f>VLOOKUP(C6,Pareigybės!$B$4:$C$9,2,FALSE)</f>
        <v>2800</v>
      </c>
      <c r="E6" s="34">
        <f>D6/ (22*8)</f>
        <v>15.909090909090908</v>
      </c>
      <c r="F6" s="34">
        <f ca="1">CHOOSE(RANDBETWEEN(1,2),150,200)</f>
        <v>150</v>
      </c>
      <c r="G6" s="10" t="s">
        <v>49</v>
      </c>
      <c r="H6" s="1" t="str">
        <f ca="1">"+3706"&amp;RANDBETWEEN(1000000,9999999)</f>
        <v>+37068981836</v>
      </c>
      <c r="I6" s="1" t="s">
        <v>139</v>
      </c>
    </row>
    <row r="7" spans="1:13" x14ac:dyDescent="0.25">
      <c r="A7" s="1">
        <v>2</v>
      </c>
      <c r="B7" s="1" t="s">
        <v>155</v>
      </c>
      <c r="C7" s="1" t="str">
        <f>Pareigybės!B5</f>
        <v>Buhalterė</v>
      </c>
      <c r="D7" s="1">
        <f>VLOOKUP(C7,Pareigybės!$B$4:$C$9,2,FALSE)</f>
        <v>1600</v>
      </c>
      <c r="E7" s="34">
        <f t="shared" ref="E7:E20" si="0">D7/ (22*8)</f>
        <v>9.0909090909090917</v>
      </c>
      <c r="F7" s="34">
        <f t="shared" ref="F7:F20" ca="1" si="1">CHOOSE(RANDBETWEEN(1,2),150,200)</f>
        <v>150</v>
      </c>
      <c r="G7" s="10" t="s">
        <v>49</v>
      </c>
      <c r="H7" s="1" t="str">
        <f t="shared" ref="H7:H20" ca="1" si="2">"+3706"&amp;RANDBETWEEN(1000000,9999999)</f>
        <v>+37065051465</v>
      </c>
      <c r="I7" s="1" t="s">
        <v>140</v>
      </c>
    </row>
    <row r="8" spans="1:13" x14ac:dyDescent="0.25">
      <c r="A8" s="1">
        <v>3</v>
      </c>
      <c r="B8" s="1" t="s">
        <v>156</v>
      </c>
      <c r="C8" s="1" t="str">
        <f>Pareigybės!B5</f>
        <v>Buhalterė</v>
      </c>
      <c r="D8" s="1">
        <f>VLOOKUP(C8,Pareigybės!$B$4:$C$9,2,FALSE)</f>
        <v>1600</v>
      </c>
      <c r="E8" s="34">
        <f t="shared" si="0"/>
        <v>9.0909090909090917</v>
      </c>
      <c r="F8" s="34">
        <f t="shared" ca="1" si="1"/>
        <v>150</v>
      </c>
      <c r="G8" s="10" t="s">
        <v>49</v>
      </c>
      <c r="H8" s="1" t="str">
        <f t="shared" ca="1" si="2"/>
        <v>+37069852091</v>
      </c>
      <c r="I8" s="1" t="s">
        <v>141</v>
      </c>
    </row>
    <row r="9" spans="1:13" x14ac:dyDescent="0.25">
      <c r="A9" s="1">
        <v>4</v>
      </c>
      <c r="B9" s="1" t="s">
        <v>157</v>
      </c>
      <c r="C9" s="1" t="str">
        <f>Pareigybės!B6</f>
        <v>Administratorė</v>
      </c>
      <c r="D9" s="1">
        <f>VLOOKUP(C9,Pareigybės!$B$4:$C$9,2,FALSE)</f>
        <v>1505</v>
      </c>
      <c r="E9" s="34">
        <f t="shared" si="0"/>
        <v>8.5511363636363633</v>
      </c>
      <c r="F9" s="34">
        <f t="shared" ca="1" si="1"/>
        <v>200</v>
      </c>
      <c r="G9" s="10" t="s">
        <v>49</v>
      </c>
      <c r="H9" s="1" t="str">
        <f t="shared" ca="1" si="2"/>
        <v>+37068573262</v>
      </c>
      <c r="I9" s="1" t="s">
        <v>142</v>
      </c>
    </row>
    <row r="10" spans="1:13" x14ac:dyDescent="0.25">
      <c r="A10" s="1">
        <v>5</v>
      </c>
      <c r="B10" s="1" t="s">
        <v>158</v>
      </c>
      <c r="C10" s="1" t="str">
        <f>Pareigybės!B7</f>
        <v>Vadybininkas</v>
      </c>
      <c r="D10" s="1">
        <f>VLOOKUP(C10,Pareigybės!$B$4:$C$9,2,FALSE)</f>
        <v>1199</v>
      </c>
      <c r="E10" s="34">
        <f t="shared" si="0"/>
        <v>6.8125</v>
      </c>
      <c r="F10" s="34">
        <f t="shared" ca="1" si="1"/>
        <v>200</v>
      </c>
      <c r="G10" s="10" t="s">
        <v>49</v>
      </c>
      <c r="H10" s="1" t="str">
        <f t="shared" ca="1" si="2"/>
        <v>+37064278594</v>
      </c>
      <c r="I10" s="1" t="s">
        <v>143</v>
      </c>
      <c r="M10" s="33"/>
    </row>
    <row r="11" spans="1:13" x14ac:dyDescent="0.25">
      <c r="A11" s="1">
        <v>6</v>
      </c>
      <c r="B11" s="1" t="s">
        <v>159</v>
      </c>
      <c r="C11" s="1" t="str">
        <f>Pareigybės!B7</f>
        <v>Vadybininkas</v>
      </c>
      <c r="D11" s="1">
        <f>VLOOKUP(C11,Pareigybės!$B$4:$C$9,2,FALSE)</f>
        <v>1199</v>
      </c>
      <c r="E11" s="34">
        <f t="shared" si="0"/>
        <v>6.8125</v>
      </c>
      <c r="F11" s="34">
        <f t="shared" ca="1" si="1"/>
        <v>150</v>
      </c>
      <c r="G11" s="10" t="s">
        <v>49</v>
      </c>
      <c r="H11" s="1" t="str">
        <f t="shared" ca="1" si="2"/>
        <v>+37068854295</v>
      </c>
      <c r="I11" s="1" t="s">
        <v>144</v>
      </c>
      <c r="M11" s="33"/>
    </row>
    <row r="12" spans="1:13" x14ac:dyDescent="0.25">
      <c r="A12" s="1">
        <v>7</v>
      </c>
      <c r="B12" s="1" t="s">
        <v>160</v>
      </c>
      <c r="C12" s="1" t="str">
        <f>Pareigybės!B8</f>
        <v>Sandėlininkas</v>
      </c>
      <c r="D12" s="1">
        <f>VLOOKUP(C12,Pareigybės!$B$4:$C$9,2,FALSE)</f>
        <v>1090</v>
      </c>
      <c r="E12" s="34">
        <f t="shared" si="0"/>
        <v>6.1931818181818183</v>
      </c>
      <c r="F12" s="34">
        <f t="shared" ca="1" si="1"/>
        <v>200</v>
      </c>
      <c r="G12" s="10" t="s">
        <v>49</v>
      </c>
      <c r="H12" s="1" t="str">
        <f t="shared" ca="1" si="2"/>
        <v>+37062314360</v>
      </c>
      <c r="I12" s="1" t="s">
        <v>145</v>
      </c>
    </row>
    <row r="13" spans="1:13" x14ac:dyDescent="0.25">
      <c r="A13" s="1">
        <v>8</v>
      </c>
      <c r="B13" s="1" t="s">
        <v>161</v>
      </c>
      <c r="C13" s="1" t="str">
        <f>Pareigybės!B8</f>
        <v>Sandėlininkas</v>
      </c>
      <c r="D13" s="1">
        <f>VLOOKUP(C13,Pareigybės!$B$4:$C$9,2,FALSE)</f>
        <v>1090</v>
      </c>
      <c r="E13" s="34">
        <f t="shared" si="0"/>
        <v>6.1931818181818183</v>
      </c>
      <c r="F13" s="34">
        <f t="shared" ca="1" si="1"/>
        <v>150</v>
      </c>
      <c r="G13" s="10" t="s">
        <v>49</v>
      </c>
      <c r="H13" s="1" t="str">
        <f t="shared" ca="1" si="2"/>
        <v>+37069441782</v>
      </c>
      <c r="I13" s="1" t="s">
        <v>146</v>
      </c>
    </row>
    <row r="14" spans="1:13" x14ac:dyDescent="0.25">
      <c r="A14" s="1">
        <v>9</v>
      </c>
      <c r="B14" s="1" t="s">
        <v>162</v>
      </c>
      <c r="C14" s="1" t="str">
        <f>Pareigybės!B9</f>
        <v>Gamybos darbuotojas</v>
      </c>
      <c r="D14" s="1">
        <f>VLOOKUP(C14,Pareigybės!$B$4:$C$9,2,FALSE)</f>
        <v>980</v>
      </c>
      <c r="E14" s="34">
        <f t="shared" si="0"/>
        <v>5.5681818181818183</v>
      </c>
      <c r="F14" s="34">
        <f t="shared" ca="1" si="1"/>
        <v>150</v>
      </c>
      <c r="G14" s="10" t="s">
        <v>49</v>
      </c>
      <c r="H14" s="1" t="str">
        <f t="shared" ca="1" si="2"/>
        <v>+37066918467</v>
      </c>
      <c r="I14" s="1" t="s">
        <v>147</v>
      </c>
    </row>
    <row r="15" spans="1:13" x14ac:dyDescent="0.25">
      <c r="A15" s="1">
        <v>10</v>
      </c>
      <c r="B15" s="1" t="s">
        <v>163</v>
      </c>
      <c r="C15" s="1" t="str">
        <f>Pareigybės!B9</f>
        <v>Gamybos darbuotojas</v>
      </c>
      <c r="D15" s="1">
        <f>VLOOKUP(C15,Pareigybės!$B$4:$C$9,2,FALSE)</f>
        <v>980</v>
      </c>
      <c r="E15" s="34">
        <f t="shared" si="0"/>
        <v>5.5681818181818183</v>
      </c>
      <c r="F15" s="34">
        <f t="shared" ca="1" si="1"/>
        <v>150</v>
      </c>
      <c r="G15" s="10" t="s">
        <v>49</v>
      </c>
      <c r="H15" s="1" t="str">
        <f t="shared" ca="1" si="2"/>
        <v>+37066538368</v>
      </c>
      <c r="I15" s="1" t="s">
        <v>148</v>
      </c>
    </row>
    <row r="16" spans="1:13" x14ac:dyDescent="0.25">
      <c r="A16" s="1">
        <v>11</v>
      </c>
      <c r="B16" s="1" t="s">
        <v>164</v>
      </c>
      <c r="C16" s="1" t="str">
        <f>Pareigybės!B9</f>
        <v>Gamybos darbuotojas</v>
      </c>
      <c r="D16" s="1">
        <f>VLOOKUP(C16,Pareigybės!$B$4:$C$9,2,FALSE)</f>
        <v>980</v>
      </c>
      <c r="E16" s="34">
        <f t="shared" si="0"/>
        <v>5.5681818181818183</v>
      </c>
      <c r="F16" s="34">
        <f t="shared" ca="1" si="1"/>
        <v>200</v>
      </c>
      <c r="G16" s="10" t="s">
        <v>49</v>
      </c>
      <c r="H16" s="1" t="str">
        <f t="shared" ca="1" si="2"/>
        <v>+37062311615</v>
      </c>
      <c r="I16" s="1" t="s">
        <v>149</v>
      </c>
    </row>
    <row r="17" spans="1:9" x14ac:dyDescent="0.25">
      <c r="A17" s="1">
        <v>12</v>
      </c>
      <c r="B17" s="1" t="s">
        <v>165</v>
      </c>
      <c r="C17" s="1" t="str">
        <f>Pareigybės!B9</f>
        <v>Gamybos darbuotojas</v>
      </c>
      <c r="D17" s="1">
        <f>VLOOKUP(C17,Pareigybės!$B$4:$C$9,2,FALSE)</f>
        <v>980</v>
      </c>
      <c r="E17" s="34">
        <f t="shared" si="0"/>
        <v>5.5681818181818183</v>
      </c>
      <c r="F17" s="34">
        <f t="shared" ca="1" si="1"/>
        <v>150</v>
      </c>
      <c r="G17" s="10" t="s">
        <v>49</v>
      </c>
      <c r="H17" s="1" t="str">
        <f t="shared" ca="1" si="2"/>
        <v>+37064404427</v>
      </c>
      <c r="I17" s="1" t="s">
        <v>150</v>
      </c>
    </row>
    <row r="18" spans="1:9" x14ac:dyDescent="0.25">
      <c r="A18" s="1">
        <v>13</v>
      </c>
      <c r="B18" s="1" t="s">
        <v>166</v>
      </c>
      <c r="C18" s="1" t="str">
        <f>Pareigybės!B9</f>
        <v>Gamybos darbuotojas</v>
      </c>
      <c r="D18" s="1">
        <f>VLOOKUP(C18,Pareigybės!$B$4:$C$9,2,FALSE)</f>
        <v>980</v>
      </c>
      <c r="E18" s="34">
        <f t="shared" si="0"/>
        <v>5.5681818181818183</v>
      </c>
      <c r="F18" s="34">
        <f t="shared" ca="1" si="1"/>
        <v>150</v>
      </c>
      <c r="G18" s="10" t="s">
        <v>49</v>
      </c>
      <c r="H18" s="1" t="str">
        <f t="shared" ca="1" si="2"/>
        <v>+37061092066</v>
      </c>
      <c r="I18" s="1" t="s">
        <v>151</v>
      </c>
    </row>
    <row r="19" spans="1:9" x14ac:dyDescent="0.25">
      <c r="A19" s="1">
        <v>14</v>
      </c>
      <c r="B19" s="1" t="s">
        <v>167</v>
      </c>
      <c r="C19" s="1" t="str">
        <f>Pareigybės!B9</f>
        <v>Gamybos darbuotojas</v>
      </c>
      <c r="D19" s="1">
        <f>VLOOKUP(C19,Pareigybės!$B$4:$C$9,2,FALSE)</f>
        <v>980</v>
      </c>
      <c r="E19" s="34">
        <f t="shared" si="0"/>
        <v>5.5681818181818183</v>
      </c>
      <c r="F19" s="34">
        <f t="shared" ca="1" si="1"/>
        <v>150</v>
      </c>
      <c r="G19" s="10" t="s">
        <v>49</v>
      </c>
      <c r="H19" s="1" t="str">
        <f t="shared" ca="1" si="2"/>
        <v>+37065358029</v>
      </c>
      <c r="I19" s="1" t="s">
        <v>152</v>
      </c>
    </row>
    <row r="20" spans="1:9" x14ac:dyDescent="0.25">
      <c r="A20" s="1">
        <v>15</v>
      </c>
      <c r="B20" s="1" t="s">
        <v>168</v>
      </c>
      <c r="C20" s="1" t="str">
        <f>Pareigybės!B9</f>
        <v>Gamybos darbuotojas</v>
      </c>
      <c r="D20" s="1">
        <f>VLOOKUP(C20,Pareigybės!$B$4:$C$9,2,FALSE)</f>
        <v>980</v>
      </c>
      <c r="E20" s="34">
        <f t="shared" si="0"/>
        <v>5.5681818181818183</v>
      </c>
      <c r="F20" s="34">
        <f t="shared" ca="1" si="1"/>
        <v>150</v>
      </c>
      <c r="G20" s="10" t="s">
        <v>49</v>
      </c>
      <c r="H20" s="1" t="str">
        <f t="shared" ca="1" si="2"/>
        <v>+37066841214</v>
      </c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A21" workbookViewId="0">
      <selection activeCell="C36" sqref="C36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30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1" t="s">
        <v>128</v>
      </c>
      <c r="H35" t="s">
        <v>129</v>
      </c>
      <c r="M35" s="32"/>
    </row>
    <row r="36" spans="1:18" ht="17.25" customHeight="1" x14ac:dyDescent="0.25">
      <c r="A36">
        <v>19</v>
      </c>
      <c r="B36" s="8" t="s">
        <v>95</v>
      </c>
      <c r="C36" t="s">
        <v>124</v>
      </c>
      <c r="G36" s="31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1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1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40" t="s">
        <v>80</v>
      </c>
      <c r="C47" s="40"/>
    </row>
    <row r="48" spans="1:18" ht="15" customHeight="1" x14ac:dyDescent="0.25">
      <c r="A48">
        <v>29</v>
      </c>
      <c r="B48" s="41" t="s">
        <v>125</v>
      </c>
      <c r="C48" s="41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"/>
  <sheetViews>
    <sheetView tabSelected="1" zoomScale="85" zoomScaleNormal="85" workbookViewId="0">
      <selection activeCell="O32" sqref="O32"/>
    </sheetView>
  </sheetViews>
  <sheetFormatPr defaultColWidth="9.140625" defaultRowHeight="15" x14ac:dyDescent="0.25"/>
  <cols>
    <col min="1" max="1" width="24.28515625" style="19" bestFit="1" customWidth="1"/>
    <col min="2" max="2" width="4.85546875" style="19" customWidth="1"/>
    <col min="3" max="3" width="22.5703125" style="19" customWidth="1"/>
    <col min="4" max="4" width="18.5703125" style="19" customWidth="1"/>
    <col min="5" max="5" width="12.140625" style="19" customWidth="1"/>
    <col min="6" max="6" width="11.7109375" style="19" customWidth="1"/>
    <col min="7" max="7" width="11.5703125" style="19" customWidth="1"/>
    <col min="8" max="8" width="9.5703125" style="19" customWidth="1"/>
    <col min="9" max="9" width="10.85546875" style="19" customWidth="1"/>
    <col min="10" max="10" width="13.28515625" style="19" customWidth="1"/>
    <col min="11" max="11" width="12.28515625" style="19" customWidth="1"/>
    <col min="12" max="12" width="12.7109375" style="19" customWidth="1"/>
    <col min="13" max="13" width="13.28515625" style="19" customWidth="1"/>
    <col min="14" max="14" width="15" style="19" customWidth="1"/>
    <col min="15" max="15" width="13.28515625" style="19" customWidth="1"/>
    <col min="16" max="16" width="11" style="19" customWidth="1"/>
    <col min="17" max="17" width="10.140625" style="19" customWidth="1"/>
    <col min="18" max="18" width="8.7109375" style="19" customWidth="1"/>
    <col min="19" max="19" width="10.85546875" style="19" customWidth="1"/>
    <col min="20" max="20" width="11.42578125" style="19" customWidth="1"/>
    <col min="21" max="21" width="11.7109375" style="19" customWidth="1"/>
    <col min="22" max="22" width="11.28515625" style="19" customWidth="1"/>
    <col min="23" max="23" width="11.5703125" style="19" customWidth="1"/>
    <col min="24" max="24" width="13.5703125" style="19" bestFit="1" customWidth="1"/>
    <col min="25" max="25" width="11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2" t="s">
        <v>4</v>
      </c>
      <c r="K1" s="42"/>
      <c r="L1" s="22">
        <v>2E-3</v>
      </c>
      <c r="N1" s="44" t="s">
        <v>97</v>
      </c>
      <c r="O1" s="44"/>
      <c r="P1" s="44"/>
      <c r="Q1" s="44"/>
      <c r="R1" s="28">
        <v>1.6000000000000001E-3</v>
      </c>
      <c r="S1" s="36">
        <f ca="1">SUM(O10:O24)*0.16%</f>
        <v>28.082858956916102</v>
      </c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3" t="s">
        <v>76</v>
      </c>
      <c r="K2" s="43"/>
      <c r="L2" s="23">
        <f ca="1">SUM(O10:O24)*L1</f>
        <v>35.103573696145126</v>
      </c>
      <c r="N2" s="44" t="s">
        <v>98</v>
      </c>
      <c r="O2" s="44"/>
      <c r="P2" s="44"/>
      <c r="Q2" s="44"/>
      <c r="R2" s="24">
        <v>1.4E-3</v>
      </c>
      <c r="S2" s="37">
        <f ca="1">SUM(O10:O24)*0.14%</f>
        <v>24.572501587301591</v>
      </c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 t="s">
        <v>169</v>
      </c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 ca="1">SUM(J10:J24)</f>
        <v>16142.333333333334</v>
      </c>
      <c r="K7" s="23">
        <f t="shared" ref="K7:X7" ca="1" si="0">SUM(K10:K24)</f>
        <v>50</v>
      </c>
      <c r="L7" s="23">
        <f t="shared" ca="1" si="0"/>
        <v>278.52380952380952</v>
      </c>
      <c r="M7" s="23">
        <f t="shared" ca="1" si="0"/>
        <v>0</v>
      </c>
      <c r="N7" s="23">
        <f t="shared" ca="1" si="0"/>
        <v>1080.9297052154188</v>
      </c>
      <c r="O7" s="23">
        <f t="shared" ca="1" si="0"/>
        <v>17551.786848072563</v>
      </c>
      <c r="P7" s="23">
        <f t="shared" ca="1" si="0"/>
        <v>5263.798911564626</v>
      </c>
      <c r="Q7" s="23">
        <f t="shared" ca="1" si="0"/>
        <v>2457.5975873015873</v>
      </c>
      <c r="R7" s="23">
        <f t="shared" ca="1" si="0"/>
        <v>877.852619206349</v>
      </c>
      <c r="S7" s="23">
        <f t="shared" ca="1" si="0"/>
        <v>1225.1147219954648</v>
      </c>
      <c r="T7" s="23">
        <f t="shared" ca="1" si="0"/>
        <v>526.55360544217672</v>
      </c>
      <c r="U7" s="23">
        <f t="shared" ca="1" si="0"/>
        <v>5087.1185339455797</v>
      </c>
      <c r="V7" s="23">
        <f t="shared" ca="1" si="0"/>
        <v>12464.668314126984</v>
      </c>
      <c r="W7" s="23">
        <f t="shared" ca="1" si="0"/>
        <v>310.66662721088443</v>
      </c>
      <c r="X7" s="23">
        <f t="shared" ca="1" si="0"/>
        <v>2450</v>
      </c>
      <c r="Y7" s="23">
        <f ca="1">SUM(Y10:Y24)</f>
        <v>10014.668314126984</v>
      </c>
    </row>
    <row r="9" spans="1:25" s="27" customFormat="1" ht="60" x14ac:dyDescent="0.25">
      <c r="A9" s="26" t="s">
        <v>14</v>
      </c>
      <c r="B9" s="26" t="s">
        <v>15</v>
      </c>
      <c r="C9" s="26" t="s">
        <v>16</v>
      </c>
      <c r="D9" s="26" t="s">
        <v>8</v>
      </c>
      <c r="E9" s="26" t="s">
        <v>101</v>
      </c>
      <c r="F9" s="26" t="s">
        <v>102</v>
      </c>
      <c r="G9" s="26" t="s">
        <v>18</v>
      </c>
      <c r="H9" s="26" t="s">
        <v>19</v>
      </c>
      <c r="I9" s="26" t="s">
        <v>20</v>
      </c>
      <c r="J9" s="26" t="s">
        <v>103</v>
      </c>
      <c r="K9" s="26" t="s">
        <v>104</v>
      </c>
      <c r="L9" s="26" t="s">
        <v>23</v>
      </c>
      <c r="M9" s="26" t="s">
        <v>24</v>
      </c>
      <c r="N9" s="26" t="s">
        <v>25</v>
      </c>
      <c r="O9" s="26" t="s">
        <v>26</v>
      </c>
      <c r="P9" s="26" t="s">
        <v>105</v>
      </c>
      <c r="Q9" s="26" t="s">
        <v>111</v>
      </c>
      <c r="R9" s="26" t="s">
        <v>99</v>
      </c>
      <c r="S9" s="26" t="s">
        <v>100</v>
      </c>
      <c r="T9" s="26" t="s">
        <v>47</v>
      </c>
      <c r="U9" s="26" t="s">
        <v>28</v>
      </c>
      <c r="V9" s="26" t="s">
        <v>29</v>
      </c>
      <c r="W9" s="26" t="s">
        <v>30</v>
      </c>
      <c r="X9" s="26" t="s">
        <v>31</v>
      </c>
      <c r="Y9" s="26" t="s">
        <v>32</v>
      </c>
    </row>
    <row r="10" spans="1:25" x14ac:dyDescent="0.25">
      <c r="A10" s="23" t="s">
        <v>170</v>
      </c>
      <c r="B10" s="35" t="str">
        <f>"03"</f>
        <v>03</v>
      </c>
      <c r="C10" s="38">
        <f>EOMONTH(DATE(2026,3,1),0)</f>
        <v>46112</v>
      </c>
      <c r="D10" s="1" t="str">
        <f>Darbuotojai!B6</f>
        <v>Darbuotojas1</v>
      </c>
      <c r="E10" s="23">
        <f>VLOOKUP(D10,Darbuotojai!$B$6:$D$20,3,FALSE)</f>
        <v>2800</v>
      </c>
      <c r="F10" s="37">
        <f>VLOOKUP(D10,Darbuotojai!$B$6:$E$20,4,FALSE)</f>
        <v>15.909090909090908</v>
      </c>
      <c r="G10" s="23">
        <f>NETWORKDAYS(DATE(2026,3,1),DATE(2026,3,31),DATE(2026,3,11))</f>
        <v>21</v>
      </c>
      <c r="H10" s="23">
        <f ca="1">RANDBETWEEN(15,G10)</f>
        <v>19</v>
      </c>
      <c r="I10" s="23">
        <f ca="1">H10*8</f>
        <v>152</v>
      </c>
      <c r="J10" s="37">
        <f ca="1">E10*H10/G10</f>
        <v>2533.3333333333335</v>
      </c>
      <c r="K10" s="37">
        <f ca="1">IF(H10=G10,50,0)</f>
        <v>0</v>
      </c>
      <c r="L10" s="37">
        <f ca="1">IF((G10-H10)&gt;4,J10/H10,0)</f>
        <v>0</v>
      </c>
      <c r="M10" s="37">
        <f ca="1">IF((G10-H10)&lt;4,0,0)</f>
        <v>0</v>
      </c>
      <c r="N10" s="37">
        <f ca="1">IF((G10-H10) &lt;= 4, J10-(J10/G10*H10), 0)</f>
        <v>241.26984126984098</v>
      </c>
      <c r="O10" s="37">
        <f ca="1">SUM(J10:N10)</f>
        <v>2774.6031746031745</v>
      </c>
      <c r="P10" s="37" cm="1">
        <f t="array" aca="1" ref="P10" ca="1">_xlfn.IFS(O10&lt;750,$L$33,O10&lt;1678,$L$33-0.26*(O10-730),O10&gt;=1678,MAX(0,400-0.18*(O10-342)))</f>
        <v>0</v>
      </c>
      <c r="Q10" s="37">
        <f ca="1">(O10-P10)*$G$1</f>
        <v>554.92063492063494</v>
      </c>
      <c r="R10" s="37">
        <f ca="1">(O10-O10*$G$7)*$G$3</f>
        <v>138.77177777777777</v>
      </c>
      <c r="S10" s="37">
        <f ca="1">O10*$G$4</f>
        <v>193.66730158730158</v>
      </c>
      <c r="T10" s="37">
        <f ca="1">O10*$G$6</f>
        <v>83.238095238095227</v>
      </c>
      <c r="U10" s="37">
        <f ca="1">SUM(Q10:T10)</f>
        <v>970.59780952380947</v>
      </c>
      <c r="V10" s="37">
        <f ca="1">O10-U10</f>
        <v>1804.005365079365</v>
      </c>
      <c r="W10" s="37">
        <f ca="1">O10*$G$5</f>
        <v>49.110476190476192</v>
      </c>
      <c r="X10" s="37">
        <f ca="1">VLOOKUP(D10,Darbuotojai!$B$6:$F$20, 5,FALSE)</f>
        <v>150</v>
      </c>
      <c r="Y10" s="37">
        <f ca="1">V10-X10</f>
        <v>1654.005365079365</v>
      </c>
    </row>
    <row r="11" spans="1:25" x14ac:dyDescent="0.25">
      <c r="A11" s="23" t="s">
        <v>170</v>
      </c>
      <c r="B11" s="39" t="str">
        <f t="shared" ref="B11:B24" si="1">"03"</f>
        <v>03</v>
      </c>
      <c r="C11" s="38">
        <f t="shared" ref="C11:C24" si="2">EOMONTH(DATE(2026,3,1),0)</f>
        <v>46112</v>
      </c>
      <c r="D11" s="1" t="str">
        <f>Darbuotojai!B7</f>
        <v>Darbuotojas2</v>
      </c>
      <c r="E11" s="23">
        <f>VLOOKUP(D11,Darbuotojai!$B$6:$D$20,3,FALSE)</f>
        <v>1600</v>
      </c>
      <c r="F11" s="37">
        <f>VLOOKUP(D11,Darbuotojai!$B$6:$E$20,4,FALSE)</f>
        <v>9.0909090909090917</v>
      </c>
      <c r="G11" s="23">
        <f t="shared" ref="G11:G24" si="3">NETWORKDAYS(DATE(2026,3,1),DATE(2026,3,31),DATE(2026,3,11))</f>
        <v>21</v>
      </c>
      <c r="H11" s="23">
        <f t="shared" ref="H11:H24" ca="1" si="4">RANDBETWEEN(15,G11)</f>
        <v>15</v>
      </c>
      <c r="I11" s="23">
        <f t="shared" ref="I11:I24" ca="1" si="5">H11*8</f>
        <v>120</v>
      </c>
      <c r="J11" s="37">
        <f t="shared" ref="J11:J24" ca="1" si="6">E11*H11/G11</f>
        <v>1142.8571428571429</v>
      </c>
      <c r="K11" s="37">
        <f t="shared" ref="K11:K24" ca="1" si="7">IF(H11=G11,50,0)</f>
        <v>0</v>
      </c>
      <c r="L11" s="37">
        <f t="shared" ref="L11:L24" ca="1" si="8">IF((G11-H11)&gt;4,J11/H11,0)</f>
        <v>76.19047619047619</v>
      </c>
      <c r="M11" s="37">
        <f t="shared" ref="M11:M24" ca="1" si="9">IF((G11-H11)&lt;4,0,0)</f>
        <v>0</v>
      </c>
      <c r="N11" s="37">
        <f t="shared" ref="N11:N24" ca="1" si="10">IF((G11-H11) &lt;= 4, J11-(J11/G11*H11), 0)</f>
        <v>0</v>
      </c>
      <c r="O11" s="37">
        <f t="shared" ref="O11:O24" ca="1" si="11">SUM(J11:N11)</f>
        <v>1219.047619047619</v>
      </c>
      <c r="P11" s="37" cm="1">
        <f t="array" aca="1" ref="P11" ca="1">_xlfn.IFS(O11&lt;750,$L$33,O11&lt;1678,$L$33-0.26*(O11-730),O11&gt;=1678,MAX(0,400-0.18*(O11-342)))</f>
        <v>332.84761904761905</v>
      </c>
      <c r="Q11" s="37">
        <f t="shared" ref="Q11:Q24" ca="1" si="12">(O11-P11)*$G$1</f>
        <v>177.24</v>
      </c>
      <c r="R11" s="37">
        <f t="shared" ref="R11:R24" ca="1" si="13">(O11-O11*$G$7)*$G$3</f>
        <v>60.970666666666659</v>
      </c>
      <c r="S11" s="37">
        <f t="shared" ref="S11:S24" ca="1" si="14">O11*$G$4</f>
        <v>85.089523809523811</v>
      </c>
      <c r="T11" s="37">
        <f t="shared" ref="T11:T24" ca="1" si="15">O11*$G$6</f>
        <v>36.571428571428569</v>
      </c>
      <c r="U11" s="37">
        <f t="shared" ref="U11:U24" ca="1" si="16">SUM(Q11:T11)</f>
        <v>359.87161904761905</v>
      </c>
      <c r="V11" s="37">
        <f t="shared" ref="V11:V24" ca="1" si="17">O11-U11</f>
        <v>859.17599999999993</v>
      </c>
      <c r="W11" s="37">
        <f t="shared" ref="W11:W24" ca="1" si="18">O11*$G$5</f>
        <v>21.577142857142857</v>
      </c>
      <c r="X11" s="37">
        <f ca="1">VLOOKUP(D11,Darbuotojai!$B$6:$F$20, 5,FALSE)</f>
        <v>150</v>
      </c>
      <c r="Y11" s="37">
        <f t="shared" ref="Y11:Y24" ca="1" si="19">V11-X11</f>
        <v>709.17599999999993</v>
      </c>
    </row>
    <row r="12" spans="1:25" x14ac:dyDescent="0.25">
      <c r="A12" s="23" t="s">
        <v>170</v>
      </c>
      <c r="B12" s="39" t="str">
        <f t="shared" si="1"/>
        <v>03</v>
      </c>
      <c r="C12" s="38">
        <f t="shared" si="2"/>
        <v>46112</v>
      </c>
      <c r="D12" s="1" t="str">
        <f>Darbuotojai!B8</f>
        <v>Darbuotojas3</v>
      </c>
      <c r="E12" s="23">
        <f>VLOOKUP(D12,Darbuotojai!$B$6:$D$20,3,FALSE)</f>
        <v>1600</v>
      </c>
      <c r="F12" s="37">
        <f>VLOOKUP(D12,Darbuotojai!$B$6:$E$20,4,FALSE)</f>
        <v>9.0909090909090917</v>
      </c>
      <c r="G12" s="23">
        <f t="shared" si="3"/>
        <v>21</v>
      </c>
      <c r="H12" s="23">
        <f t="shared" ca="1" si="4"/>
        <v>17</v>
      </c>
      <c r="I12" s="23">
        <f t="shared" ca="1" si="5"/>
        <v>136</v>
      </c>
      <c r="J12" s="37">
        <f t="shared" ca="1" si="6"/>
        <v>1295.2380952380952</v>
      </c>
      <c r="K12" s="37">
        <f t="shared" ca="1" si="7"/>
        <v>0</v>
      </c>
      <c r="L12" s="37">
        <f t="shared" ca="1" si="8"/>
        <v>0</v>
      </c>
      <c r="M12" s="37">
        <f t="shared" ca="1" si="9"/>
        <v>0</v>
      </c>
      <c r="N12" s="37">
        <f t="shared" ca="1" si="10"/>
        <v>246.71201814058963</v>
      </c>
      <c r="O12" s="37">
        <f t="shared" ca="1" si="11"/>
        <v>1541.9501133786848</v>
      </c>
      <c r="P12" s="37" cm="1">
        <f t="array" aca="1" ref="P12" ca="1">_xlfn.IFS(O12&lt;750,$L$33,O12&lt;1678,$L$33-0.26*(O12-730),O12&gt;=1678,MAX(0,400-0.18*(O12-342)))</f>
        <v>248.89297052154194</v>
      </c>
      <c r="Q12" s="37">
        <f t="shared" ca="1" si="12"/>
        <v>258.61142857142858</v>
      </c>
      <c r="R12" s="37">
        <f t="shared" ca="1" si="13"/>
        <v>77.120634920634913</v>
      </c>
      <c r="S12" s="37">
        <f t="shared" ca="1" si="14"/>
        <v>107.6281179138322</v>
      </c>
      <c r="T12" s="37">
        <f t="shared" ca="1" si="15"/>
        <v>46.258503401360542</v>
      </c>
      <c r="U12" s="37">
        <f t="shared" ca="1" si="16"/>
        <v>489.61868480725622</v>
      </c>
      <c r="V12" s="37">
        <f t="shared" ca="1" si="17"/>
        <v>1052.3314285714287</v>
      </c>
      <c r="W12" s="37">
        <f t="shared" ca="1" si="18"/>
        <v>27.292517006802722</v>
      </c>
      <c r="X12" s="37">
        <f ca="1">VLOOKUP(D12,Darbuotojai!$B$6:$F$20, 5,FALSE)</f>
        <v>150</v>
      </c>
      <c r="Y12" s="37">
        <f t="shared" ca="1" si="19"/>
        <v>902.33142857142866</v>
      </c>
    </row>
    <row r="13" spans="1:25" x14ac:dyDescent="0.25">
      <c r="A13" s="23" t="s">
        <v>170</v>
      </c>
      <c r="B13" s="39" t="str">
        <f t="shared" si="1"/>
        <v>03</v>
      </c>
      <c r="C13" s="38">
        <f t="shared" si="2"/>
        <v>46112</v>
      </c>
      <c r="D13" s="1" t="str">
        <f>Darbuotojai!B9</f>
        <v>Darbuotojas4</v>
      </c>
      <c r="E13" s="23">
        <f>VLOOKUP(D13,Darbuotojai!$B$6:$D$20,3,FALSE)</f>
        <v>1505</v>
      </c>
      <c r="F13" s="37">
        <f>VLOOKUP(D13,Darbuotojai!$B$6:$E$20,4,FALSE)</f>
        <v>8.5511363636363633</v>
      </c>
      <c r="G13" s="23">
        <f t="shared" si="3"/>
        <v>21</v>
      </c>
      <c r="H13" s="23">
        <f t="shared" ca="1" si="4"/>
        <v>19</v>
      </c>
      <c r="I13" s="23">
        <f t="shared" ca="1" si="5"/>
        <v>152</v>
      </c>
      <c r="J13" s="37">
        <f t="shared" ca="1" si="6"/>
        <v>1361.6666666666667</v>
      </c>
      <c r="K13" s="37">
        <f t="shared" ca="1" si="7"/>
        <v>0</v>
      </c>
      <c r="L13" s="37">
        <f t="shared" ca="1" si="8"/>
        <v>0</v>
      </c>
      <c r="M13" s="37">
        <f t="shared" ca="1" si="9"/>
        <v>0</v>
      </c>
      <c r="N13" s="37">
        <f t="shared" ca="1" si="10"/>
        <v>129.68253968253953</v>
      </c>
      <c r="O13" s="37">
        <f t="shared" ca="1" si="11"/>
        <v>1491.3492063492063</v>
      </c>
      <c r="P13" s="37" cm="1">
        <f t="array" aca="1" ref="P13" ca="1">_xlfn.IFS(O13&lt;750,$L$33,O13&lt;1678,$L$33-0.26*(O13-730),O13&gt;=1678,MAX(0,400-0.18*(O13-342)))</f>
        <v>262.04920634920637</v>
      </c>
      <c r="Q13" s="37">
        <f t="shared" ca="1" si="12"/>
        <v>245.86</v>
      </c>
      <c r="R13" s="37">
        <f t="shared" ca="1" si="13"/>
        <v>74.589830555555551</v>
      </c>
      <c r="S13" s="37">
        <f t="shared" ca="1" si="14"/>
        <v>104.0961746031746</v>
      </c>
      <c r="T13" s="37">
        <f t="shared" ca="1" si="15"/>
        <v>44.740476190476187</v>
      </c>
      <c r="U13" s="37">
        <f t="shared" ca="1" si="16"/>
        <v>469.28648134920638</v>
      </c>
      <c r="V13" s="37">
        <f t="shared" ca="1" si="17"/>
        <v>1022.0627249999999</v>
      </c>
      <c r="W13" s="37">
        <f t="shared" ca="1" si="18"/>
        <v>26.39688095238095</v>
      </c>
      <c r="X13" s="37">
        <f ca="1">VLOOKUP(D13,Darbuotojai!$B$6:$F$20, 5,FALSE)</f>
        <v>200</v>
      </c>
      <c r="Y13" s="37">
        <f t="shared" ca="1" si="19"/>
        <v>822.06272499999989</v>
      </c>
    </row>
    <row r="14" spans="1:25" x14ac:dyDescent="0.25">
      <c r="A14" s="23" t="s">
        <v>170</v>
      </c>
      <c r="B14" s="39" t="str">
        <f t="shared" si="1"/>
        <v>03</v>
      </c>
      <c r="C14" s="38">
        <f t="shared" si="2"/>
        <v>46112</v>
      </c>
      <c r="D14" s="1" t="str">
        <f>Darbuotojai!B10</f>
        <v>Darbuotojas5</v>
      </c>
      <c r="E14" s="23">
        <f>VLOOKUP(D14,Darbuotojai!$B$6:$D$20,3,FALSE)</f>
        <v>1199</v>
      </c>
      <c r="F14" s="37">
        <f>VLOOKUP(D14,Darbuotojai!$B$6:$E$20,4,FALSE)</f>
        <v>6.8125</v>
      </c>
      <c r="G14" s="23">
        <f t="shared" si="3"/>
        <v>21</v>
      </c>
      <c r="H14" s="23">
        <f t="shared" ca="1" si="4"/>
        <v>20</v>
      </c>
      <c r="I14" s="23">
        <f t="shared" ca="1" si="5"/>
        <v>160</v>
      </c>
      <c r="J14" s="37">
        <f t="shared" ca="1" si="6"/>
        <v>1141.9047619047619</v>
      </c>
      <c r="K14" s="37">
        <f t="shared" ca="1" si="7"/>
        <v>0</v>
      </c>
      <c r="L14" s="37">
        <f t="shared" ca="1" si="8"/>
        <v>0</v>
      </c>
      <c r="M14" s="37">
        <f t="shared" ca="1" si="9"/>
        <v>0</v>
      </c>
      <c r="N14" s="37">
        <f t="shared" ca="1" si="10"/>
        <v>54.376417233560005</v>
      </c>
      <c r="O14" s="37">
        <f t="shared" ca="1" si="11"/>
        <v>1196.2811791383219</v>
      </c>
      <c r="P14" s="37" cm="1">
        <f t="array" aca="1" ref="P14" ca="1">_xlfn.IFS(O14&lt;750,$L$33,O14&lt;1678,$L$33-0.26*(O14-730),O14&gt;=1678,MAX(0,400-0.18*(O14-342)))</f>
        <v>338.76689342403631</v>
      </c>
      <c r="Q14" s="37">
        <f t="shared" ca="1" si="12"/>
        <v>171.50285714285712</v>
      </c>
      <c r="R14" s="37">
        <f t="shared" ca="1" si="13"/>
        <v>59.832003174603166</v>
      </c>
      <c r="S14" s="37">
        <f t="shared" ca="1" si="14"/>
        <v>83.500426303854866</v>
      </c>
      <c r="T14" s="37">
        <f t="shared" ca="1" si="15"/>
        <v>35.888435374149658</v>
      </c>
      <c r="U14" s="37">
        <f t="shared" ca="1" si="16"/>
        <v>350.72372199546481</v>
      </c>
      <c r="V14" s="37">
        <f t="shared" ca="1" si="17"/>
        <v>845.55745714285717</v>
      </c>
      <c r="W14" s="37">
        <f t="shared" ca="1" si="18"/>
        <v>21.174176870748298</v>
      </c>
      <c r="X14" s="37">
        <f ca="1">VLOOKUP(D14,Darbuotojai!$B$6:$F$20, 5,FALSE)</f>
        <v>200</v>
      </c>
      <c r="Y14" s="37">
        <f t="shared" ca="1" si="19"/>
        <v>645.55745714285717</v>
      </c>
    </row>
    <row r="15" spans="1:25" x14ac:dyDescent="0.25">
      <c r="A15" s="23" t="s">
        <v>170</v>
      </c>
      <c r="B15" s="39" t="str">
        <f t="shared" si="1"/>
        <v>03</v>
      </c>
      <c r="C15" s="38">
        <f t="shared" si="2"/>
        <v>46112</v>
      </c>
      <c r="D15" s="1" t="str">
        <f>Darbuotojai!B11</f>
        <v>Darbuotojas6</v>
      </c>
      <c r="E15" s="23">
        <f>VLOOKUP(D15,Darbuotojai!$B$6:$D$20,3,FALSE)</f>
        <v>1199</v>
      </c>
      <c r="F15" s="37">
        <f>VLOOKUP(D15,Darbuotojai!$B$6:$E$20,4,FALSE)</f>
        <v>6.8125</v>
      </c>
      <c r="G15" s="23">
        <f t="shared" si="3"/>
        <v>21</v>
      </c>
      <c r="H15" s="23">
        <f t="shared" ca="1" si="4"/>
        <v>16</v>
      </c>
      <c r="I15" s="23">
        <f t="shared" ca="1" si="5"/>
        <v>128</v>
      </c>
      <c r="J15" s="37">
        <f t="shared" ca="1" si="6"/>
        <v>913.52380952380952</v>
      </c>
      <c r="K15" s="37">
        <f t="shared" ca="1" si="7"/>
        <v>0</v>
      </c>
      <c r="L15" s="37">
        <f t="shared" ca="1" si="8"/>
        <v>57.095238095238095</v>
      </c>
      <c r="M15" s="37">
        <f t="shared" ca="1" si="9"/>
        <v>0</v>
      </c>
      <c r="N15" s="37">
        <f t="shared" ca="1" si="10"/>
        <v>0</v>
      </c>
      <c r="O15" s="37">
        <f t="shared" ca="1" si="11"/>
        <v>970.61904761904759</v>
      </c>
      <c r="P15" s="37" cm="1">
        <f t="array" aca="1" ref="P15" ca="1">_xlfn.IFS(O15&lt;750,$L$33,O15&lt;1678,$L$33-0.26*(O15-730),O15&gt;=1678,MAX(0,400-0.18*(O15-342)))</f>
        <v>397.43904761904764</v>
      </c>
      <c r="Q15" s="37">
        <f t="shared" ca="1" si="12"/>
        <v>114.636</v>
      </c>
      <c r="R15" s="37">
        <f t="shared" ca="1" si="13"/>
        <v>48.545511666666656</v>
      </c>
      <c r="S15" s="37">
        <f t="shared" ca="1" si="14"/>
        <v>67.749209523809526</v>
      </c>
      <c r="T15" s="37">
        <f t="shared" ca="1" si="15"/>
        <v>29.118571428571428</v>
      </c>
      <c r="U15" s="37">
        <f t="shared" ca="1" si="16"/>
        <v>260.04929261904761</v>
      </c>
      <c r="V15" s="37">
        <f t="shared" ca="1" si="17"/>
        <v>710.56975499999999</v>
      </c>
      <c r="W15" s="37">
        <f t="shared" ca="1" si="18"/>
        <v>17.179957142857141</v>
      </c>
      <c r="X15" s="37">
        <f ca="1">VLOOKUP(D15,Darbuotojai!$B$6:$F$20, 5,FALSE)</f>
        <v>150</v>
      </c>
      <c r="Y15" s="37">
        <f t="shared" ca="1" si="19"/>
        <v>560.56975499999999</v>
      </c>
    </row>
    <row r="16" spans="1:25" x14ac:dyDescent="0.25">
      <c r="A16" s="23" t="s">
        <v>170</v>
      </c>
      <c r="B16" s="39" t="str">
        <f t="shared" si="1"/>
        <v>03</v>
      </c>
      <c r="C16" s="38">
        <f t="shared" si="2"/>
        <v>46112</v>
      </c>
      <c r="D16" s="1" t="str">
        <f>Darbuotojai!B12</f>
        <v>Darbuotojas7</v>
      </c>
      <c r="E16" s="23">
        <f>VLOOKUP(D16,Darbuotojai!$B$6:$D$20,3,FALSE)</f>
        <v>1090</v>
      </c>
      <c r="F16" s="37">
        <f>VLOOKUP(D16,Darbuotojai!$B$6:$E$20,4,FALSE)</f>
        <v>6.1931818181818183</v>
      </c>
      <c r="G16" s="23">
        <f t="shared" si="3"/>
        <v>21</v>
      </c>
      <c r="H16" s="23">
        <f t="shared" ca="1" si="4"/>
        <v>21</v>
      </c>
      <c r="I16" s="23">
        <f t="shared" ca="1" si="5"/>
        <v>168</v>
      </c>
      <c r="J16" s="37">
        <f t="shared" ca="1" si="6"/>
        <v>1090</v>
      </c>
      <c r="K16" s="37">
        <f t="shared" ca="1" si="7"/>
        <v>50</v>
      </c>
      <c r="L16" s="37">
        <f t="shared" ca="1" si="8"/>
        <v>0</v>
      </c>
      <c r="M16" s="37">
        <f t="shared" ca="1" si="9"/>
        <v>0</v>
      </c>
      <c r="N16" s="37">
        <f t="shared" ca="1" si="10"/>
        <v>0</v>
      </c>
      <c r="O16" s="37">
        <f t="shared" ca="1" si="11"/>
        <v>1140</v>
      </c>
      <c r="P16" s="37" cm="1">
        <f t="array" aca="1" ref="P16" ca="1">_xlfn.IFS(O16&lt;750,$L$33,O16&lt;1678,$L$33-0.26*(O16-730),O16&gt;=1678,MAX(0,400-0.18*(O16-342)))</f>
        <v>353.4</v>
      </c>
      <c r="Q16" s="37">
        <f t="shared" ca="1" si="12"/>
        <v>157.32000000000002</v>
      </c>
      <c r="R16" s="37">
        <f t="shared" ca="1" si="13"/>
        <v>57.017099999999999</v>
      </c>
      <c r="S16" s="37">
        <f t="shared" ca="1" si="14"/>
        <v>79.572000000000003</v>
      </c>
      <c r="T16" s="37">
        <f t="shared" ca="1" si="15"/>
        <v>34.199999999999996</v>
      </c>
      <c r="U16" s="37">
        <f t="shared" ca="1" si="16"/>
        <v>328.10910000000001</v>
      </c>
      <c r="V16" s="37">
        <f t="shared" ca="1" si="17"/>
        <v>811.89089999999999</v>
      </c>
      <c r="W16" s="37">
        <f t="shared" ca="1" si="18"/>
        <v>20.178000000000001</v>
      </c>
      <c r="X16" s="37">
        <f ca="1">VLOOKUP(D16,Darbuotojai!$B$6:$F$20, 5,FALSE)</f>
        <v>200</v>
      </c>
      <c r="Y16" s="37">
        <f t="shared" ca="1" si="19"/>
        <v>611.89089999999999</v>
      </c>
    </row>
    <row r="17" spans="1:25" x14ac:dyDescent="0.25">
      <c r="A17" s="23" t="s">
        <v>170</v>
      </c>
      <c r="B17" s="39" t="str">
        <f t="shared" si="1"/>
        <v>03</v>
      </c>
      <c r="C17" s="38">
        <f t="shared" si="2"/>
        <v>46112</v>
      </c>
      <c r="D17" s="1" t="str">
        <f>Darbuotojai!B13</f>
        <v>Darbuotojas8</v>
      </c>
      <c r="E17" s="23">
        <f>VLOOKUP(D17,Darbuotojai!$B$6:$D$20,3,FALSE)</f>
        <v>1090</v>
      </c>
      <c r="F17" s="37">
        <f>VLOOKUP(D17,Darbuotojai!$B$6:$E$20,4,FALSE)</f>
        <v>6.1931818181818183</v>
      </c>
      <c r="G17" s="23">
        <f t="shared" si="3"/>
        <v>21</v>
      </c>
      <c r="H17" s="23">
        <f t="shared" ca="1" si="4"/>
        <v>16</v>
      </c>
      <c r="I17" s="23">
        <f t="shared" ca="1" si="5"/>
        <v>128</v>
      </c>
      <c r="J17" s="37">
        <f t="shared" ca="1" si="6"/>
        <v>830.47619047619048</v>
      </c>
      <c r="K17" s="37">
        <f t="shared" ca="1" si="7"/>
        <v>0</v>
      </c>
      <c r="L17" s="37">
        <f t="shared" ca="1" si="8"/>
        <v>51.904761904761905</v>
      </c>
      <c r="M17" s="37">
        <f t="shared" ca="1" si="9"/>
        <v>0</v>
      </c>
      <c r="N17" s="37">
        <f t="shared" ca="1" si="10"/>
        <v>0</v>
      </c>
      <c r="O17" s="37">
        <f t="shared" ca="1" si="11"/>
        <v>882.38095238095241</v>
      </c>
      <c r="P17" s="37" cm="1">
        <f t="array" aca="1" ref="P17" ca="1">_xlfn.IFS(O17&lt;750,$L$33,O17&lt;1678,$L$33-0.26*(O17-730),O17&gt;=1678,MAX(0,400-0.18*(O17-342)))</f>
        <v>420.38095238095235</v>
      </c>
      <c r="Q17" s="37">
        <f t="shared" ca="1" si="12"/>
        <v>92.40000000000002</v>
      </c>
      <c r="R17" s="37">
        <f t="shared" ca="1" si="13"/>
        <v>44.132283333333341</v>
      </c>
      <c r="S17" s="37">
        <f t="shared" ca="1" si="14"/>
        <v>61.590190476190479</v>
      </c>
      <c r="T17" s="37">
        <f t="shared" ca="1" si="15"/>
        <v>26.471428571428572</v>
      </c>
      <c r="U17" s="37">
        <f t="shared" ca="1" si="16"/>
        <v>224.59390238095241</v>
      </c>
      <c r="V17" s="37">
        <f t="shared" ca="1" si="17"/>
        <v>657.78705000000002</v>
      </c>
      <c r="W17" s="37">
        <f t="shared" ca="1" si="18"/>
        <v>15.618142857142859</v>
      </c>
      <c r="X17" s="37">
        <f ca="1">VLOOKUP(D17,Darbuotojai!$B$6:$F$20, 5,FALSE)</f>
        <v>150</v>
      </c>
      <c r="Y17" s="37">
        <f t="shared" ca="1" si="19"/>
        <v>507.78705000000002</v>
      </c>
    </row>
    <row r="18" spans="1:25" x14ac:dyDescent="0.25">
      <c r="A18" s="23" t="s">
        <v>170</v>
      </c>
      <c r="B18" s="39" t="str">
        <f t="shared" si="1"/>
        <v>03</v>
      </c>
      <c r="C18" s="38">
        <f t="shared" si="2"/>
        <v>46112</v>
      </c>
      <c r="D18" s="1" t="str">
        <f>Darbuotojai!B14</f>
        <v>Darbuotojas9</v>
      </c>
      <c r="E18" s="23">
        <f>VLOOKUP(D18,Darbuotojai!$B$6:$D$20,3,FALSE)</f>
        <v>980</v>
      </c>
      <c r="F18" s="37">
        <f>VLOOKUP(D18,Darbuotojai!$B$6:$E$20,4,FALSE)</f>
        <v>5.5681818181818183</v>
      </c>
      <c r="G18" s="23">
        <f t="shared" si="3"/>
        <v>21</v>
      </c>
      <c r="H18" s="23">
        <f t="shared" ca="1" si="4"/>
        <v>19</v>
      </c>
      <c r="I18" s="23">
        <f t="shared" ca="1" si="5"/>
        <v>152</v>
      </c>
      <c r="J18" s="37">
        <f t="shared" ca="1" si="6"/>
        <v>886.66666666666663</v>
      </c>
      <c r="K18" s="37">
        <f t="shared" ca="1" si="7"/>
        <v>0</v>
      </c>
      <c r="L18" s="37">
        <f t="shared" ca="1" si="8"/>
        <v>0</v>
      </c>
      <c r="M18" s="37">
        <f t="shared" ca="1" si="9"/>
        <v>0</v>
      </c>
      <c r="N18" s="37">
        <f t="shared" ca="1" si="10"/>
        <v>84.444444444444457</v>
      </c>
      <c r="O18" s="37">
        <f t="shared" ca="1" si="11"/>
        <v>971.11111111111109</v>
      </c>
      <c r="P18" s="37" cm="1">
        <f t="array" aca="1" ref="P18" ca="1">_xlfn.IFS(O18&lt;750,$L$33,O18&lt;1678,$L$33-0.26*(O18-730),O18&gt;=1678,MAX(0,400-0.18*(O18-342)))</f>
        <v>397.31111111111113</v>
      </c>
      <c r="Q18" s="37">
        <f t="shared" ca="1" si="12"/>
        <v>114.75999999999999</v>
      </c>
      <c r="R18" s="37">
        <f t="shared" ca="1" si="13"/>
        <v>48.570122222222224</v>
      </c>
      <c r="S18" s="37">
        <f t="shared" ca="1" si="14"/>
        <v>67.783555555555552</v>
      </c>
      <c r="T18" s="37">
        <f t="shared" ca="1" si="15"/>
        <v>29.133333333333333</v>
      </c>
      <c r="U18" s="37">
        <f t="shared" ca="1" si="16"/>
        <v>260.24701111111108</v>
      </c>
      <c r="V18" s="37">
        <f t="shared" ca="1" si="17"/>
        <v>710.86410000000001</v>
      </c>
      <c r="W18" s="37">
        <f t="shared" ca="1" si="18"/>
        <v>17.188666666666666</v>
      </c>
      <c r="X18" s="37">
        <f ca="1">VLOOKUP(D18,Darbuotojai!$B$6:$F$20, 5,FALSE)</f>
        <v>150</v>
      </c>
      <c r="Y18" s="37">
        <f t="shared" ca="1" si="19"/>
        <v>560.86410000000001</v>
      </c>
    </row>
    <row r="19" spans="1:25" x14ac:dyDescent="0.25">
      <c r="A19" s="23" t="s">
        <v>170</v>
      </c>
      <c r="B19" s="39" t="str">
        <f t="shared" si="1"/>
        <v>03</v>
      </c>
      <c r="C19" s="38">
        <f t="shared" si="2"/>
        <v>46112</v>
      </c>
      <c r="D19" s="1" t="str">
        <f>Darbuotojai!B15</f>
        <v>Darbuotojas10</v>
      </c>
      <c r="E19" s="23">
        <f>VLOOKUP(D19,Darbuotojai!$B$6:$D$20,3,FALSE)</f>
        <v>980</v>
      </c>
      <c r="F19" s="37">
        <f>VLOOKUP(D19,Darbuotojai!$B$6:$E$20,4,FALSE)</f>
        <v>5.5681818181818183</v>
      </c>
      <c r="G19" s="23">
        <f t="shared" si="3"/>
        <v>21</v>
      </c>
      <c r="H19" s="23">
        <f t="shared" ca="1" si="4"/>
        <v>20</v>
      </c>
      <c r="I19" s="23">
        <f t="shared" ca="1" si="5"/>
        <v>160</v>
      </c>
      <c r="J19" s="37">
        <f t="shared" ca="1" si="6"/>
        <v>933.33333333333337</v>
      </c>
      <c r="K19" s="37">
        <f t="shared" ca="1" si="7"/>
        <v>0</v>
      </c>
      <c r="L19" s="37">
        <f t="shared" ca="1" si="8"/>
        <v>0</v>
      </c>
      <c r="M19" s="37">
        <f t="shared" ca="1" si="9"/>
        <v>0</v>
      </c>
      <c r="N19" s="37">
        <f t="shared" ca="1" si="10"/>
        <v>44.444444444444457</v>
      </c>
      <c r="O19" s="37">
        <f t="shared" ca="1" si="11"/>
        <v>977.77777777777783</v>
      </c>
      <c r="P19" s="37" cm="1">
        <f t="array" aca="1" ref="P19" ca="1">_xlfn.IFS(O19&lt;750,$L$33,O19&lt;1678,$L$33-0.26*(O19-730),O19&gt;=1678,MAX(0,400-0.18*(O19-342)))</f>
        <v>395.57777777777778</v>
      </c>
      <c r="Q19" s="37">
        <f t="shared" ca="1" si="12"/>
        <v>116.44000000000001</v>
      </c>
      <c r="R19" s="37">
        <f t="shared" ca="1" si="13"/>
        <v>48.903555555555549</v>
      </c>
      <c r="S19" s="37">
        <f t="shared" ca="1" si="14"/>
        <v>68.248888888888899</v>
      </c>
      <c r="T19" s="37">
        <f t="shared" ca="1" si="15"/>
        <v>29.333333333333332</v>
      </c>
      <c r="U19" s="37">
        <f t="shared" ca="1" si="16"/>
        <v>262.9257777777778</v>
      </c>
      <c r="V19" s="37">
        <f t="shared" ca="1" si="17"/>
        <v>714.85200000000009</v>
      </c>
      <c r="W19" s="37">
        <f t="shared" ca="1" si="18"/>
        <v>17.306666666666668</v>
      </c>
      <c r="X19" s="37">
        <f ca="1">VLOOKUP(D19,Darbuotojai!$B$6:$F$20, 5,FALSE)</f>
        <v>150</v>
      </c>
      <c r="Y19" s="37">
        <f t="shared" ca="1" si="19"/>
        <v>564.85200000000009</v>
      </c>
    </row>
    <row r="20" spans="1:25" x14ac:dyDescent="0.25">
      <c r="A20" s="23" t="s">
        <v>170</v>
      </c>
      <c r="B20" s="39" t="str">
        <f t="shared" si="1"/>
        <v>03</v>
      </c>
      <c r="C20" s="38">
        <f t="shared" si="2"/>
        <v>46112</v>
      </c>
      <c r="D20" s="1" t="str">
        <f>Darbuotojai!B16</f>
        <v>Darbuotojas11</v>
      </c>
      <c r="E20" s="23">
        <f>VLOOKUP(D20,Darbuotojai!$B$6:$D$20,3,FALSE)</f>
        <v>980</v>
      </c>
      <c r="F20" s="37">
        <f>VLOOKUP(D20,Darbuotojai!$B$6:$E$20,4,FALSE)</f>
        <v>5.5681818181818183</v>
      </c>
      <c r="G20" s="23">
        <f t="shared" si="3"/>
        <v>21</v>
      </c>
      <c r="H20" s="23">
        <f t="shared" ca="1" si="4"/>
        <v>17</v>
      </c>
      <c r="I20" s="23">
        <f t="shared" ca="1" si="5"/>
        <v>136</v>
      </c>
      <c r="J20" s="37">
        <f t="shared" ca="1" si="6"/>
        <v>793.33333333333337</v>
      </c>
      <c r="K20" s="37">
        <f t="shared" ca="1" si="7"/>
        <v>0</v>
      </c>
      <c r="L20" s="37">
        <f t="shared" ca="1" si="8"/>
        <v>0</v>
      </c>
      <c r="M20" s="37">
        <f t="shared" ca="1" si="9"/>
        <v>0</v>
      </c>
      <c r="N20" s="37">
        <f t="shared" ca="1" si="10"/>
        <v>151.11111111111109</v>
      </c>
      <c r="O20" s="37">
        <f t="shared" ca="1" si="11"/>
        <v>944.44444444444446</v>
      </c>
      <c r="P20" s="37" cm="1">
        <f t="array" aca="1" ref="P20" ca="1">_xlfn.IFS(O20&lt;750,$L$33,O20&lt;1678,$L$33-0.26*(O20-730),O20&gt;=1678,MAX(0,400-0.18*(O20-342)))</f>
        <v>404.24444444444441</v>
      </c>
      <c r="Q20" s="37">
        <f t="shared" ca="1" si="12"/>
        <v>108.04000000000002</v>
      </c>
      <c r="R20" s="37">
        <f t="shared" ca="1" si="13"/>
        <v>47.236388888888889</v>
      </c>
      <c r="S20" s="37">
        <f t="shared" ca="1" si="14"/>
        <v>65.922222222222217</v>
      </c>
      <c r="T20" s="37">
        <f t="shared" ca="1" si="15"/>
        <v>28.333333333333332</v>
      </c>
      <c r="U20" s="37">
        <f t="shared" ca="1" si="16"/>
        <v>249.53194444444446</v>
      </c>
      <c r="V20" s="37">
        <f t="shared" ca="1" si="17"/>
        <v>694.91250000000002</v>
      </c>
      <c r="W20" s="37">
        <f t="shared" ca="1" si="18"/>
        <v>16.716666666666669</v>
      </c>
      <c r="X20" s="37">
        <f ca="1">VLOOKUP(D20,Darbuotojai!$B$6:$F$20, 5,FALSE)</f>
        <v>200</v>
      </c>
      <c r="Y20" s="37">
        <f t="shared" ca="1" si="19"/>
        <v>494.91250000000002</v>
      </c>
    </row>
    <row r="21" spans="1:25" x14ac:dyDescent="0.25">
      <c r="A21" s="23" t="s">
        <v>170</v>
      </c>
      <c r="B21" s="39" t="str">
        <f t="shared" si="1"/>
        <v>03</v>
      </c>
      <c r="C21" s="38">
        <f t="shared" si="2"/>
        <v>46112</v>
      </c>
      <c r="D21" s="1" t="str">
        <f>Darbuotojai!B17</f>
        <v>Darbuotojas12</v>
      </c>
      <c r="E21" s="23">
        <f>VLOOKUP(D21,Darbuotojai!$B$6:$D$20,3,FALSE)</f>
        <v>980</v>
      </c>
      <c r="F21" s="37">
        <f>VLOOKUP(D21,Darbuotojai!$B$6:$E$20,4,FALSE)</f>
        <v>5.5681818181818183</v>
      </c>
      <c r="G21" s="23">
        <f t="shared" si="3"/>
        <v>21</v>
      </c>
      <c r="H21" s="23">
        <f t="shared" ca="1" si="4"/>
        <v>15</v>
      </c>
      <c r="I21" s="23">
        <f t="shared" ca="1" si="5"/>
        <v>120</v>
      </c>
      <c r="J21" s="37">
        <f t="shared" ca="1" si="6"/>
        <v>700</v>
      </c>
      <c r="K21" s="37">
        <f t="shared" ca="1" si="7"/>
        <v>0</v>
      </c>
      <c r="L21" s="37">
        <f t="shared" ca="1" si="8"/>
        <v>46.666666666666664</v>
      </c>
      <c r="M21" s="37">
        <f t="shared" ca="1" si="9"/>
        <v>0</v>
      </c>
      <c r="N21" s="37">
        <f t="shared" ca="1" si="10"/>
        <v>0</v>
      </c>
      <c r="O21" s="37">
        <f t="shared" ca="1" si="11"/>
        <v>746.66666666666663</v>
      </c>
      <c r="P21" s="37" cm="1">
        <f t="array" aca="1" ref="P21" ca="1">_xlfn.IFS(O21&lt;750,$L$33,O21&lt;1678,$L$33-0.26*(O21-730),O21&gt;=1678,MAX(0,400-0.18*(O21-342)))</f>
        <v>460</v>
      </c>
      <c r="Q21" s="37">
        <f t="shared" ca="1" si="12"/>
        <v>57.333333333333329</v>
      </c>
      <c r="R21" s="37">
        <f t="shared" ca="1" si="13"/>
        <v>37.344533333333331</v>
      </c>
      <c r="S21" s="37">
        <f t="shared" ca="1" si="14"/>
        <v>52.117333333333335</v>
      </c>
      <c r="T21" s="37">
        <f t="shared" ca="1" si="15"/>
        <v>22.4</v>
      </c>
      <c r="U21" s="37">
        <f t="shared" ca="1" si="16"/>
        <v>169.1952</v>
      </c>
      <c r="V21" s="37">
        <f t="shared" ca="1" si="17"/>
        <v>577.47146666666663</v>
      </c>
      <c r="W21" s="37">
        <f t="shared" ca="1" si="18"/>
        <v>13.215999999999999</v>
      </c>
      <c r="X21" s="37">
        <f ca="1">VLOOKUP(D21,Darbuotojai!$B$6:$F$20, 5,FALSE)</f>
        <v>150</v>
      </c>
      <c r="Y21" s="37">
        <f t="shared" ca="1" si="19"/>
        <v>427.47146666666663</v>
      </c>
    </row>
    <row r="22" spans="1:25" x14ac:dyDescent="0.25">
      <c r="A22" s="23" t="s">
        <v>170</v>
      </c>
      <c r="B22" s="39" t="str">
        <f t="shared" si="1"/>
        <v>03</v>
      </c>
      <c r="C22" s="38">
        <f t="shared" si="2"/>
        <v>46112</v>
      </c>
      <c r="D22" s="1" t="str">
        <f>Darbuotojai!B18</f>
        <v>Darbuotojas13</v>
      </c>
      <c r="E22" s="23">
        <f>VLOOKUP(D22,Darbuotojai!$B$6:$D$20,3,FALSE)</f>
        <v>980</v>
      </c>
      <c r="F22" s="37">
        <f>VLOOKUP(D22,Darbuotojai!$B$6:$E$20,4,FALSE)</f>
        <v>5.5681818181818183</v>
      </c>
      <c r="G22" s="23">
        <f t="shared" si="3"/>
        <v>21</v>
      </c>
      <c r="H22" s="23">
        <f t="shared" ca="1" si="4"/>
        <v>15</v>
      </c>
      <c r="I22" s="23">
        <f t="shared" ca="1" si="5"/>
        <v>120</v>
      </c>
      <c r="J22" s="37">
        <f t="shared" ca="1" si="6"/>
        <v>700</v>
      </c>
      <c r="K22" s="37">
        <f t="shared" ca="1" si="7"/>
        <v>0</v>
      </c>
      <c r="L22" s="37">
        <f t="shared" ca="1" si="8"/>
        <v>46.666666666666664</v>
      </c>
      <c r="M22" s="37">
        <f t="shared" ca="1" si="9"/>
        <v>0</v>
      </c>
      <c r="N22" s="37">
        <f t="shared" ca="1" si="10"/>
        <v>0</v>
      </c>
      <c r="O22" s="37">
        <f t="shared" ca="1" si="11"/>
        <v>746.66666666666663</v>
      </c>
      <c r="P22" s="37" cm="1">
        <f t="array" aca="1" ref="P22" ca="1">_xlfn.IFS(O22&lt;750,$L$33,O22&lt;1678,$L$33-0.26*(O22-730),O22&gt;=1678,MAX(0,400-0.18*(O22-342)))</f>
        <v>460</v>
      </c>
      <c r="Q22" s="37">
        <f t="shared" ca="1" si="12"/>
        <v>57.333333333333329</v>
      </c>
      <c r="R22" s="37">
        <f t="shared" ca="1" si="13"/>
        <v>37.344533333333331</v>
      </c>
      <c r="S22" s="37">
        <f t="shared" ca="1" si="14"/>
        <v>52.117333333333335</v>
      </c>
      <c r="T22" s="37">
        <f t="shared" ca="1" si="15"/>
        <v>22.4</v>
      </c>
      <c r="U22" s="37">
        <f t="shared" ca="1" si="16"/>
        <v>169.1952</v>
      </c>
      <c r="V22" s="37">
        <f t="shared" ca="1" si="17"/>
        <v>577.47146666666663</v>
      </c>
      <c r="W22" s="37">
        <f t="shared" ca="1" si="18"/>
        <v>13.215999999999999</v>
      </c>
      <c r="X22" s="37">
        <f ca="1">VLOOKUP(D22,Darbuotojai!$B$6:$F$20, 5,FALSE)</f>
        <v>150</v>
      </c>
      <c r="Y22" s="37">
        <f t="shared" ca="1" si="19"/>
        <v>427.47146666666663</v>
      </c>
    </row>
    <row r="23" spans="1:25" x14ac:dyDescent="0.25">
      <c r="A23" s="23" t="s">
        <v>170</v>
      </c>
      <c r="B23" s="39" t="str">
        <f t="shared" si="1"/>
        <v>03</v>
      </c>
      <c r="C23" s="38">
        <f t="shared" si="2"/>
        <v>46112</v>
      </c>
      <c r="D23" s="1" t="str">
        <f>Darbuotojai!B19</f>
        <v>Darbuotojas14</v>
      </c>
      <c r="E23" s="23">
        <f>VLOOKUP(D23,Darbuotojai!$B$6:$D$20,3,FALSE)</f>
        <v>980</v>
      </c>
      <c r="F23" s="37">
        <f>VLOOKUP(D23,Darbuotojai!$B$6:$E$20,4,FALSE)</f>
        <v>5.5681818181818183</v>
      </c>
      <c r="G23" s="23">
        <f t="shared" si="3"/>
        <v>21</v>
      </c>
      <c r="H23" s="23">
        <f t="shared" ca="1" si="4"/>
        <v>19</v>
      </c>
      <c r="I23" s="23">
        <f t="shared" ca="1" si="5"/>
        <v>152</v>
      </c>
      <c r="J23" s="37">
        <f t="shared" ca="1" si="6"/>
        <v>886.66666666666663</v>
      </c>
      <c r="K23" s="37">
        <f t="shared" ca="1" si="7"/>
        <v>0</v>
      </c>
      <c r="L23" s="37">
        <f t="shared" ca="1" si="8"/>
        <v>0</v>
      </c>
      <c r="M23" s="37">
        <f t="shared" ca="1" si="9"/>
        <v>0</v>
      </c>
      <c r="N23" s="37">
        <f t="shared" ca="1" si="10"/>
        <v>84.444444444444457</v>
      </c>
      <c r="O23" s="37">
        <f t="shared" ca="1" si="11"/>
        <v>971.11111111111109</v>
      </c>
      <c r="P23" s="37" cm="1">
        <f t="array" aca="1" ref="P23" ca="1">_xlfn.IFS(O23&lt;750,$L$33,O23&lt;1678,$L$33-0.26*(O23-730),O23&gt;=1678,MAX(0,400-0.18*(O23-342)))</f>
        <v>397.31111111111113</v>
      </c>
      <c r="Q23" s="37">
        <f t="shared" ca="1" si="12"/>
        <v>114.75999999999999</v>
      </c>
      <c r="R23" s="37">
        <f t="shared" ca="1" si="13"/>
        <v>48.570122222222224</v>
      </c>
      <c r="S23" s="37">
        <f t="shared" ca="1" si="14"/>
        <v>67.783555555555552</v>
      </c>
      <c r="T23" s="37">
        <f t="shared" ca="1" si="15"/>
        <v>29.133333333333333</v>
      </c>
      <c r="U23" s="37">
        <f t="shared" ca="1" si="16"/>
        <v>260.24701111111108</v>
      </c>
      <c r="V23" s="37">
        <f t="shared" ca="1" si="17"/>
        <v>710.86410000000001</v>
      </c>
      <c r="W23" s="37">
        <f t="shared" ca="1" si="18"/>
        <v>17.188666666666666</v>
      </c>
      <c r="X23" s="37">
        <f ca="1">VLOOKUP(D23,Darbuotojai!$B$6:$F$20, 5,FALSE)</f>
        <v>150</v>
      </c>
      <c r="Y23" s="37">
        <f t="shared" ca="1" si="19"/>
        <v>560.86410000000001</v>
      </c>
    </row>
    <row r="24" spans="1:25" x14ac:dyDescent="0.25">
      <c r="A24" s="23" t="s">
        <v>170</v>
      </c>
      <c r="B24" s="39" t="str">
        <f t="shared" si="1"/>
        <v>03</v>
      </c>
      <c r="C24" s="38">
        <f t="shared" si="2"/>
        <v>46112</v>
      </c>
      <c r="D24" s="1" t="str">
        <f>Darbuotojai!B20</f>
        <v>Darbuotojas15</v>
      </c>
      <c r="E24" s="23">
        <f>VLOOKUP(D24,Darbuotojai!$B$6:$D$20,3,FALSE)</f>
        <v>980</v>
      </c>
      <c r="F24" s="37">
        <f>VLOOKUP(D24,Darbuotojai!$B$6:$E$20,4,FALSE)</f>
        <v>5.5681818181818183</v>
      </c>
      <c r="G24" s="23">
        <f t="shared" si="3"/>
        <v>21</v>
      </c>
      <c r="H24" s="23">
        <f t="shared" ca="1" si="4"/>
        <v>20</v>
      </c>
      <c r="I24" s="23">
        <f t="shared" ca="1" si="5"/>
        <v>160</v>
      </c>
      <c r="J24" s="37">
        <f t="shared" ca="1" si="6"/>
        <v>933.33333333333337</v>
      </c>
      <c r="K24" s="37">
        <f t="shared" ca="1" si="7"/>
        <v>0</v>
      </c>
      <c r="L24" s="37">
        <f t="shared" ca="1" si="8"/>
        <v>0</v>
      </c>
      <c r="M24" s="37">
        <f t="shared" ca="1" si="9"/>
        <v>0</v>
      </c>
      <c r="N24" s="37">
        <f t="shared" ca="1" si="10"/>
        <v>44.444444444444457</v>
      </c>
      <c r="O24" s="37">
        <f t="shared" ca="1" si="11"/>
        <v>977.77777777777783</v>
      </c>
      <c r="P24" s="37" cm="1">
        <f t="array" aca="1" ref="P24" ca="1">_xlfn.IFS(O24&lt;750,$L$33,O24&lt;1678,$L$33-0.26*(O24-730),O24&gt;=1678,MAX(0,400-0.18*(O24-342)))</f>
        <v>395.57777777777778</v>
      </c>
      <c r="Q24" s="37">
        <f t="shared" ca="1" si="12"/>
        <v>116.44000000000001</v>
      </c>
      <c r="R24" s="37">
        <f t="shared" ca="1" si="13"/>
        <v>48.903555555555549</v>
      </c>
      <c r="S24" s="37">
        <f t="shared" ca="1" si="14"/>
        <v>68.248888888888899</v>
      </c>
      <c r="T24" s="37">
        <f t="shared" ca="1" si="15"/>
        <v>29.333333333333332</v>
      </c>
      <c r="U24" s="37">
        <f t="shared" ca="1" si="16"/>
        <v>262.9257777777778</v>
      </c>
      <c r="V24" s="37">
        <f t="shared" ca="1" si="17"/>
        <v>714.85200000000009</v>
      </c>
      <c r="W24" s="37">
        <f t="shared" ca="1" si="18"/>
        <v>17.306666666666668</v>
      </c>
      <c r="X24" s="37">
        <f ca="1">VLOOKUP(D24,Darbuotojai!$B$6:$F$20, 5,FALSE)</f>
        <v>150</v>
      </c>
      <c r="Y24" s="37">
        <f t="shared" ca="1" si="19"/>
        <v>564.85200000000009</v>
      </c>
    </row>
    <row r="33" spans="10:22" x14ac:dyDescent="0.25">
      <c r="K33" s="19" t="s">
        <v>171</v>
      </c>
      <c r="L33" s="19">
        <v>460</v>
      </c>
    </row>
    <row r="35" spans="10:22" ht="15.75" x14ac:dyDescent="0.25">
      <c r="J35"/>
      <c r="K35" s="30" t="s">
        <v>127</v>
      </c>
      <c r="L35"/>
      <c r="M35"/>
      <c r="N35"/>
      <c r="O35"/>
      <c r="P35"/>
      <c r="Q35"/>
      <c r="R35"/>
      <c r="S35"/>
      <c r="T35"/>
      <c r="U35"/>
      <c r="V35"/>
    </row>
    <row r="36" spans="10:22" ht="15.75" x14ac:dyDescent="0.25">
      <c r="J36" s="31" t="s">
        <v>128</v>
      </c>
      <c r="K36" t="s">
        <v>129</v>
      </c>
      <c r="L36"/>
      <c r="M36"/>
      <c r="N36"/>
      <c r="O36"/>
      <c r="P36" s="32"/>
      <c r="Q36"/>
      <c r="R36"/>
      <c r="S36"/>
      <c r="T36"/>
      <c r="U36"/>
      <c r="V36"/>
    </row>
    <row r="37" spans="10:22" x14ac:dyDescent="0.25">
      <c r="J37" s="31" t="s">
        <v>130</v>
      </c>
      <c r="K37" t="s">
        <v>131</v>
      </c>
      <c r="L37"/>
      <c r="M37"/>
      <c r="N37"/>
      <c r="O37"/>
      <c r="P37"/>
      <c r="Q37"/>
      <c r="R37"/>
      <c r="S37"/>
      <c r="T37"/>
      <c r="U37" t="s">
        <v>132</v>
      </c>
      <c r="V37"/>
    </row>
    <row r="38" spans="10:22" x14ac:dyDescent="0.25">
      <c r="J38" s="31" t="s">
        <v>133</v>
      </c>
      <c r="K38" t="s">
        <v>134</v>
      </c>
      <c r="L38"/>
      <c r="M38"/>
      <c r="N38"/>
      <c r="O38"/>
      <c r="P38"/>
      <c r="Q38"/>
      <c r="R38"/>
      <c r="S38"/>
      <c r="T38"/>
      <c r="U38" t="s">
        <v>135</v>
      </c>
      <c r="V38"/>
    </row>
    <row r="39" spans="10:22" x14ac:dyDescent="0.25">
      <c r="J39" s="31" t="s">
        <v>136</v>
      </c>
      <c r="K39" t="s">
        <v>137</v>
      </c>
      <c r="L39"/>
      <c r="M39"/>
      <c r="N39"/>
      <c r="O39"/>
      <c r="P39"/>
      <c r="Q39"/>
      <c r="R39"/>
      <c r="S39"/>
      <c r="T39"/>
      <c r="U39"/>
      <c r="V39"/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conditionalFormatting sqref="V10:V24">
    <cfRule type="top10" dxfId="0" priority="1" bottom="1" rank="5"/>
    <cfRule type="top10" priority="2" bottom="1" rank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C7" sqref="C7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>
        <f ca="1">COUNTIF('Darbo užmokestis'!H10:H24, "&gt;=18")</f>
        <v>8</v>
      </c>
    </row>
    <row r="4" spans="1:3" ht="30" x14ac:dyDescent="0.25">
      <c r="A4" s="1">
        <v>2</v>
      </c>
      <c r="B4" s="29" t="s">
        <v>120</v>
      </c>
      <c r="C4" s="34">
        <f ca="1">SUMIF('Darbo užmokestis'!H10:H24, "&lt;18",'Darbo užmokestis'!V10:V24)</f>
        <v>5129.7196669047617</v>
      </c>
    </row>
    <row r="5" spans="1:3" x14ac:dyDescent="0.25">
      <c r="A5" s="1">
        <v>3</v>
      </c>
      <c r="B5" s="1" t="s">
        <v>107</v>
      </c>
      <c r="C5" s="34">
        <f ca="1">AVERAGE('Darbo užmokestis'!X10:X24)</f>
        <v>163.33333333333334</v>
      </c>
    </row>
    <row r="6" spans="1:3" ht="30" x14ac:dyDescent="0.25">
      <c r="A6" s="1">
        <v>4</v>
      </c>
      <c r="B6" s="29" t="s">
        <v>119</v>
      </c>
      <c r="C6" s="34">
        <f ca="1">AVERAGEIF(Darbuotojai!E6:E20, "&lt;8",'Darbo užmokestis'!R10:R24)</f>
        <v>47.854519025974021</v>
      </c>
    </row>
    <row r="7" spans="1:3" x14ac:dyDescent="0.25">
      <c r="A7" s="1">
        <v>5</v>
      </c>
      <c r="B7" s="1" t="s">
        <v>108</v>
      </c>
      <c r="C7" s="34">
        <f ca="1">MEDIAN('Darbo užmokestis'!P10:P24)</f>
        <v>395.57777777777778</v>
      </c>
    </row>
    <row r="8" spans="1:3" x14ac:dyDescent="0.25">
      <c r="A8" s="1">
        <v>6</v>
      </c>
      <c r="B8" s="1" t="s">
        <v>110</v>
      </c>
      <c r="C8" s="34">
        <f ca="1">LARGE('Darbo užmokestis'!Q10:Q24,2)</f>
        <v>258.61142857142858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Pareigybės</vt:lpstr>
      <vt:lpstr>Darbuotojai</vt:lpstr>
      <vt:lpstr>Užduotis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Mokinys_7</cp:lastModifiedBy>
  <dcterms:created xsi:type="dcterms:W3CDTF">2018-12-13T14:39:32Z</dcterms:created>
  <dcterms:modified xsi:type="dcterms:W3CDTF">2026-05-08T06:38:25Z</dcterms:modified>
</cp:coreProperties>
</file>