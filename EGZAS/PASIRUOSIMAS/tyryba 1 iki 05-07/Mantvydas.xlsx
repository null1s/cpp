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30C9964C-4025-49F6-8071-75DAD3B9967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F6" i="2"/>
  <c r="D15" i="2"/>
  <c r="D16" i="2"/>
  <c r="D17" i="2"/>
  <c r="D18" i="2"/>
  <c r="D19" i="2"/>
  <c r="D20" i="2"/>
  <c r="D14" i="2"/>
  <c r="D13" i="2"/>
  <c r="D12" i="2"/>
  <c r="D11" i="2"/>
  <c r="D10" i="2"/>
  <c r="D9" i="2"/>
  <c r="D8" i="2"/>
  <c r="D7" i="2"/>
  <c r="D6" i="2"/>
  <c r="C15" i="2"/>
  <c r="C16" i="2"/>
  <c r="C17" i="2"/>
  <c r="C18" i="2"/>
  <c r="C19" i="2"/>
  <c r="C20" i="2"/>
  <c r="C14" i="2"/>
  <c r="C13" i="2"/>
  <c r="C12" i="2"/>
  <c r="C11" i="2"/>
  <c r="C10" i="2"/>
  <c r="C7" i="2"/>
  <c r="C9" i="2"/>
  <c r="C8" i="2"/>
  <c r="C6" i="2"/>
  <c r="M7" i="3"/>
  <c r="X7" i="3" l="1"/>
  <c r="L7" i="3" l="1"/>
  <c r="K7" i="3"/>
  <c r="N7" i="3"/>
  <c r="J7" i="3" l="1"/>
  <c r="T7" i="3" l="1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<sst xmlns="http://schemas.openxmlformats.org/spreadsheetml/2006/main" count="238" uniqueCount="170">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</sst>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workbookViewId="0">
      <selection activeCell="C32" sqref="C32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39" t="s">
        <v>80</v>
      </c>
      <c r="C47" s="39"/>
    </row>
    <row r="48" spans="1:18" ht="15" customHeight="1" x14ac:dyDescent="0.25">
      <c r="A48">
        <v>29</v>
      </c>
      <c r="B48" s="40" t="s">
        <v>125</v>
      </c>
      <c r="C48" s="40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4" sqref="C4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H23" sqref="H23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155</v>
      </c>
      <c r="C6" t="str">
        <f>Pareigybės!$B$4</f>
        <v>Vadovas</v>
      </c>
      <c r="D6" s="1">
        <f>Pareigybės!$C$4</f>
        <v>2800</v>
      </c>
      <c r="E6" s="34">
        <f>Darbuotojai!D6/(22*8)</f>
        <v>15.909090909090908</v>
      </c>
      <c r="F6" s="34">
        <f ca="1">CHOOSE(RANDBETWEEN(1,2),150,200)</f>
        <v>200</v>
      </c>
      <c r="G6" s="10" t="s">
        <v>49</v>
      </c>
      <c r="H6" s="1" t="str">
        <f ca="1">CONCATENATE(3706,RANDBETWEEN(1000000,9999999))</f>
        <v>37067248683</v>
      </c>
      <c r="I6" s="1" t="s">
        <v>139</v>
      </c>
    </row>
    <row r="7" spans="1:13" x14ac:dyDescent="0.25">
      <c r="A7" s="1">
        <v>2</v>
      </c>
      <c r="B7" s="1" t="s">
        <v>156</v>
      </c>
      <c r="C7" t="str">
        <f>Pareigybės!$B$6</f>
        <v>Administratorė</v>
      </c>
      <c r="D7" s="1">
        <f>Pareigybės!$C$6</f>
        <v>1505</v>
      </c>
      <c r="E7" s="34">
        <f>Darbuotojai!D7/(22*8)</f>
        <v>8.5511363636363633</v>
      </c>
      <c r="F7" s="34">
        <f t="shared" ref="F7:F20" ca="1" si="0">CHOOSE(RANDBETWEEN(1,2),150,200)</f>
        <v>150</v>
      </c>
      <c r="G7" s="10" t="s">
        <v>49</v>
      </c>
      <c r="H7" s="1" t="str">
        <f t="shared" ref="H7:H20" ca="1" si="1">CONCATENATE(3706,RANDBETWEEN(1000000,9999999))</f>
        <v>37066721229</v>
      </c>
      <c r="I7" s="1" t="s">
        <v>140</v>
      </c>
    </row>
    <row r="8" spans="1:13" x14ac:dyDescent="0.25">
      <c r="A8" s="1">
        <v>3</v>
      </c>
      <c r="B8" s="1" t="s">
        <v>157</v>
      </c>
      <c r="C8" s="1" t="str">
        <f>Pareigybės!$B$5</f>
        <v>Buhalterė</v>
      </c>
      <c r="D8" s="1">
        <f>Pareigybės!$C$5</f>
        <v>1600</v>
      </c>
      <c r="E8" s="34">
        <f>Darbuotojai!D8/(22*8)</f>
        <v>9.0909090909090917</v>
      </c>
      <c r="F8" s="34">
        <f t="shared" ca="1" si="0"/>
        <v>200</v>
      </c>
      <c r="G8" s="10" t="s">
        <v>49</v>
      </c>
      <c r="H8" s="1" t="str">
        <f t="shared" ca="1" si="1"/>
        <v>37065117492</v>
      </c>
      <c r="I8" s="1" t="s">
        <v>141</v>
      </c>
    </row>
    <row r="9" spans="1:13" x14ac:dyDescent="0.25">
      <c r="A9" s="1">
        <v>4</v>
      </c>
      <c r="B9" s="1" t="s">
        <v>158</v>
      </c>
      <c r="C9" s="1" t="str">
        <f>Pareigybės!$B$5</f>
        <v>Buhalterė</v>
      </c>
      <c r="D9" s="1">
        <f>Pareigybės!$C$5</f>
        <v>1600</v>
      </c>
      <c r="E9" s="34">
        <f>Darbuotojai!D9/(22*8)</f>
        <v>9.0909090909090917</v>
      </c>
      <c r="F9" s="34">
        <f t="shared" ca="1" si="0"/>
        <v>200</v>
      </c>
      <c r="G9" s="10" t="s">
        <v>49</v>
      </c>
      <c r="H9" s="1" t="str">
        <f t="shared" ca="1" si="1"/>
        <v>37068872583</v>
      </c>
      <c r="I9" s="1" t="s">
        <v>142</v>
      </c>
    </row>
    <row r="10" spans="1:13" x14ac:dyDescent="0.25">
      <c r="A10" s="1">
        <v>5</v>
      </c>
      <c r="B10" s="1" t="s">
        <v>159</v>
      </c>
      <c r="C10" s="1" t="str">
        <f>Pareigybės!$B$7</f>
        <v>Vadybininkas</v>
      </c>
      <c r="D10" s="1">
        <f>Pareigybės!$C$7</f>
        <v>1199</v>
      </c>
      <c r="E10" s="34">
        <f>Darbuotojai!D10/(22*8)</f>
        <v>6.8125</v>
      </c>
      <c r="F10" s="34">
        <f t="shared" ca="1" si="0"/>
        <v>150</v>
      </c>
      <c r="G10" s="10" t="s">
        <v>49</v>
      </c>
      <c r="H10" s="1" t="str">
        <f t="shared" ca="1" si="1"/>
        <v>37068475837</v>
      </c>
      <c r="I10" s="1" t="s">
        <v>143</v>
      </c>
      <c r="M10" s="33"/>
    </row>
    <row r="11" spans="1:13" x14ac:dyDescent="0.25">
      <c r="A11" s="1">
        <v>6</v>
      </c>
      <c r="B11" s="1" t="s">
        <v>160</v>
      </c>
      <c r="C11" s="1" t="str">
        <f>Pareigybės!$B$7</f>
        <v>Vadybininkas</v>
      </c>
      <c r="D11" s="1">
        <f>Pareigybės!$C$7</f>
        <v>1199</v>
      </c>
      <c r="E11" s="34">
        <f>Darbuotojai!D11/(22*8)</f>
        <v>6.8125</v>
      </c>
      <c r="F11" s="34">
        <f t="shared" ca="1" si="0"/>
        <v>200</v>
      </c>
      <c r="G11" s="10" t="s">
        <v>49</v>
      </c>
      <c r="H11" s="1" t="str">
        <f t="shared" ca="1" si="1"/>
        <v>37064859517</v>
      </c>
      <c r="I11" s="1" t="s">
        <v>144</v>
      </c>
      <c r="M11" s="33"/>
    </row>
    <row r="12" spans="1:13" x14ac:dyDescent="0.25">
      <c r="A12" s="1">
        <v>7</v>
      </c>
      <c r="B12" s="1" t="s">
        <v>161</v>
      </c>
      <c r="C12" s="1" t="str">
        <f>Pareigybės!$B$8</f>
        <v>Sandėlininkas</v>
      </c>
      <c r="D12" s="1">
        <f>Pareigybės!$C$8</f>
        <v>1090</v>
      </c>
      <c r="E12" s="34">
        <f>Darbuotojai!D12/(22*8)</f>
        <v>6.1931818181818183</v>
      </c>
      <c r="F12" s="34">
        <f t="shared" ca="1" si="0"/>
        <v>200</v>
      </c>
      <c r="G12" s="10" t="s">
        <v>49</v>
      </c>
      <c r="H12" s="1" t="str">
        <f t="shared" ca="1" si="1"/>
        <v>37067756852</v>
      </c>
      <c r="I12" s="1" t="s">
        <v>145</v>
      </c>
    </row>
    <row r="13" spans="1:13" x14ac:dyDescent="0.25">
      <c r="A13" s="1">
        <v>8</v>
      </c>
      <c r="B13" s="1" t="s">
        <v>162</v>
      </c>
      <c r="C13" s="1" t="str">
        <f>Pareigybės!$B$8</f>
        <v>Sandėlininkas</v>
      </c>
      <c r="D13" s="1">
        <f>Pareigybės!$C$8</f>
        <v>1090</v>
      </c>
      <c r="E13" s="34">
        <f>Darbuotojai!D13/(22*8)</f>
        <v>6.1931818181818183</v>
      </c>
      <c r="F13" s="34">
        <f t="shared" ca="1" si="0"/>
        <v>150</v>
      </c>
      <c r="G13" s="10" t="s">
        <v>49</v>
      </c>
      <c r="H13" s="1" t="str">
        <f t="shared" ca="1" si="1"/>
        <v>37064932539</v>
      </c>
      <c r="I13" s="1" t="s">
        <v>146</v>
      </c>
    </row>
    <row r="14" spans="1:13" x14ac:dyDescent="0.25">
      <c r="A14" s="1">
        <v>9</v>
      </c>
      <c r="B14" s="1" t="s">
        <v>163</v>
      </c>
      <c r="C14" s="1" t="str">
        <f>Pareigybės!$B$9</f>
        <v>Gamybos darbuotojas</v>
      </c>
      <c r="D14" s="1">
        <f>Pareigybės!$C$9</f>
        <v>980</v>
      </c>
      <c r="E14" s="34">
        <f>Darbuotojai!D14/(22*8)</f>
        <v>5.5681818181818183</v>
      </c>
      <c r="F14" s="34">
        <f t="shared" ca="1" si="0"/>
        <v>150</v>
      </c>
      <c r="G14" s="10" t="s">
        <v>49</v>
      </c>
      <c r="H14" s="1" t="str">
        <f t="shared" ca="1" si="1"/>
        <v>37067745995</v>
      </c>
      <c r="I14" s="1" t="s">
        <v>147</v>
      </c>
    </row>
    <row r="15" spans="1:13" x14ac:dyDescent="0.25">
      <c r="A15" s="1">
        <v>10</v>
      </c>
      <c r="B15" s="1" t="s">
        <v>164</v>
      </c>
      <c r="C15" s="1" t="str">
        <f>Pareigybės!$B$9</f>
        <v>Gamybos darbuotojas</v>
      </c>
      <c r="D15" s="1">
        <f>Pareigybės!$C$9</f>
        <v>980</v>
      </c>
      <c r="E15" s="34">
        <f>Darbuotojai!D15/(22*8)</f>
        <v>5.5681818181818183</v>
      </c>
      <c r="F15" s="34">
        <f t="shared" ca="1" si="0"/>
        <v>150</v>
      </c>
      <c r="G15" s="10" t="s">
        <v>49</v>
      </c>
      <c r="H15" s="1" t="str">
        <f t="shared" ca="1" si="1"/>
        <v>37064185884</v>
      </c>
      <c r="I15" s="1" t="s">
        <v>148</v>
      </c>
    </row>
    <row r="16" spans="1:13" x14ac:dyDescent="0.25">
      <c r="A16" s="1">
        <v>11</v>
      </c>
      <c r="B16" s="1" t="s">
        <v>165</v>
      </c>
      <c r="C16" s="1" t="str">
        <f>Pareigybės!$B$9</f>
        <v>Gamybos darbuotojas</v>
      </c>
      <c r="D16" s="1">
        <f>Pareigybės!$C$9</f>
        <v>980</v>
      </c>
      <c r="E16" s="34">
        <f>Darbuotojai!D16/(22*8)</f>
        <v>5.5681818181818183</v>
      </c>
      <c r="F16" s="34">
        <f t="shared" ca="1" si="0"/>
        <v>200</v>
      </c>
      <c r="G16" s="10" t="s">
        <v>49</v>
      </c>
      <c r="H16" s="1" t="str">
        <f t="shared" ca="1" si="1"/>
        <v>37062875676</v>
      </c>
      <c r="I16" s="1" t="s">
        <v>149</v>
      </c>
    </row>
    <row r="17" spans="1:9" x14ac:dyDescent="0.25">
      <c r="A17" s="1">
        <v>12</v>
      </c>
      <c r="B17" s="1" t="s">
        <v>166</v>
      </c>
      <c r="C17" s="1" t="str">
        <f>Pareigybės!$B$9</f>
        <v>Gamybos darbuotojas</v>
      </c>
      <c r="D17" s="1">
        <f>Pareigybės!$C$9</f>
        <v>980</v>
      </c>
      <c r="E17" s="34">
        <f>Darbuotojai!D17/(22*8)</f>
        <v>5.5681818181818183</v>
      </c>
      <c r="F17" s="34">
        <f t="shared" ca="1" si="0"/>
        <v>150</v>
      </c>
      <c r="G17" s="10" t="s">
        <v>49</v>
      </c>
      <c r="H17" s="1" t="str">
        <f t="shared" ca="1" si="1"/>
        <v>37069462298</v>
      </c>
      <c r="I17" s="1" t="s">
        <v>150</v>
      </c>
    </row>
    <row r="18" spans="1:9" x14ac:dyDescent="0.25">
      <c r="A18" s="1">
        <v>13</v>
      </c>
      <c r="B18" s="1" t="s">
        <v>167</v>
      </c>
      <c r="C18" s="1" t="str">
        <f>Pareigybės!$B$9</f>
        <v>Gamybos darbuotojas</v>
      </c>
      <c r="D18" s="1">
        <f>Pareigybės!$C$9</f>
        <v>980</v>
      </c>
      <c r="E18" s="34">
        <f>Darbuotojai!D18/(22*8)</f>
        <v>5.5681818181818183</v>
      </c>
      <c r="F18" s="34">
        <f t="shared" ca="1" si="0"/>
        <v>150</v>
      </c>
      <c r="G18" s="10" t="s">
        <v>49</v>
      </c>
      <c r="H18" s="1" t="str">
        <f t="shared" ca="1" si="1"/>
        <v>37063320337</v>
      </c>
      <c r="I18" s="1" t="s">
        <v>151</v>
      </c>
    </row>
    <row r="19" spans="1:9" x14ac:dyDescent="0.25">
      <c r="A19" s="1">
        <v>14</v>
      </c>
      <c r="B19" s="1" t="s">
        <v>168</v>
      </c>
      <c r="C19" s="1" t="str">
        <f>Pareigybės!$B$9</f>
        <v>Gamybos darbuotojas</v>
      </c>
      <c r="D19" s="1">
        <f>Pareigybės!$C$9</f>
        <v>980</v>
      </c>
      <c r="E19" s="34">
        <f>Darbuotojai!D19/(22*8)</f>
        <v>5.5681818181818183</v>
      </c>
      <c r="F19" s="34">
        <f t="shared" ca="1" si="0"/>
        <v>150</v>
      </c>
      <c r="G19" s="10" t="s">
        <v>49</v>
      </c>
      <c r="H19" s="1" t="str">
        <f t="shared" ca="1" si="1"/>
        <v>37068926333</v>
      </c>
      <c r="I19" s="1" t="s">
        <v>152</v>
      </c>
    </row>
    <row r="20" spans="1:9" x14ac:dyDescent="0.25">
      <c r="A20" s="1">
        <v>15</v>
      </c>
      <c r="B20" s="1" t="s">
        <v>169</v>
      </c>
      <c r="C20" s="1" t="str">
        <f>Pareigybės!$B$9</f>
        <v>Gamybos darbuotojas</v>
      </c>
      <c r="D20" s="1">
        <f>Pareigybės!$C$9</f>
        <v>980</v>
      </c>
      <c r="E20" s="34">
        <f>Darbuotojai!D20/(22*8)</f>
        <v>5.5681818181818183</v>
      </c>
      <c r="F20" s="34">
        <f t="shared" ca="1" si="0"/>
        <v>200</v>
      </c>
      <c r="G20" s="10" t="s">
        <v>49</v>
      </c>
      <c r="H20" s="1" t="str">
        <f t="shared" ca="1" si="1"/>
        <v>37066662982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abSelected="1" zoomScale="85" zoomScaleNormal="85" workbookViewId="0">
      <selection activeCell="S4" sqref="S4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1" t="s">
        <v>4</v>
      </c>
      <c r="K1" s="41"/>
      <c r="L1" s="22">
        <v>2E-3</v>
      </c>
      <c r="N1" s="43" t="s">
        <v>97</v>
      </c>
      <c r="O1" s="43"/>
      <c r="P1" s="43"/>
      <c r="Q1" s="43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2" t="s">
        <v>76</v>
      </c>
      <c r="K2" s="42"/>
      <c r="L2" s="23"/>
      <c r="N2" s="43" t="s">
        <v>98</v>
      </c>
      <c r="O2" s="43"/>
      <c r="P2" s="43"/>
      <c r="Q2" s="43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/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>SUM(J10:J24)</f>
        <v>0</v>
      </c>
      <c r="K7" s="23">
        <f t="shared" ref="K7:X7" si="0">SUM(K10:K24)</f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0"/>
        <v>0</v>
      </c>
      <c r="Q7" s="23">
        <f t="shared" si="0"/>
        <v>0</v>
      </c>
      <c r="R7" s="23">
        <f t="shared" si="0"/>
        <v>0</v>
      </c>
      <c r="S7" s="23">
        <f t="shared" si="0"/>
        <v>0</v>
      </c>
      <c r="T7" s="23">
        <f t="shared" si="0"/>
        <v>0</v>
      </c>
      <c r="U7" s="23">
        <f t="shared" si="0"/>
        <v>0</v>
      </c>
      <c r="V7" s="23">
        <f t="shared" si="0"/>
        <v>0</v>
      </c>
      <c r="W7" s="23">
        <f t="shared" si="0"/>
        <v>0</v>
      </c>
      <c r="X7" s="23">
        <f t="shared" si="0"/>
        <v>0</v>
      </c>
      <c r="Y7" s="23">
        <f>SUM(Y10:Y24)</f>
        <v>0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/>
      <c r="C10" s="38"/>
      <c r="D10" s="1"/>
      <c r="E10" s="23"/>
      <c r="F10" s="37"/>
      <c r="G10" s="23"/>
      <c r="H10" s="23"/>
      <c r="I10" s="23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23" t="s">
        <v>154</v>
      </c>
      <c r="B11" s="35"/>
      <c r="C11" s="38"/>
      <c r="D11" s="1"/>
      <c r="E11" s="23"/>
      <c r="F11" s="37"/>
      <c r="G11" s="23"/>
      <c r="H11" s="23"/>
      <c r="I11" s="23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23" t="s">
        <v>154</v>
      </c>
      <c r="B12" s="35"/>
      <c r="C12" s="38"/>
      <c r="D12" s="1"/>
      <c r="E12" s="23"/>
      <c r="F12" s="37"/>
      <c r="G12" s="23"/>
      <c r="H12" s="23"/>
      <c r="I12" s="23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23" t="s">
        <v>154</v>
      </c>
      <c r="B13" s="35"/>
      <c r="C13" s="38"/>
      <c r="D13" s="1"/>
      <c r="E13" s="23"/>
      <c r="F13" s="37"/>
      <c r="G13" s="23"/>
      <c r="H13" s="23"/>
      <c r="I13" s="23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23" t="s">
        <v>154</v>
      </c>
      <c r="B14" s="35"/>
      <c r="C14" s="38"/>
      <c r="D14" s="1"/>
      <c r="E14" s="23"/>
      <c r="F14" s="37"/>
      <c r="G14" s="23"/>
      <c r="H14" s="23"/>
      <c r="I14" s="23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23" t="s">
        <v>154</v>
      </c>
      <c r="B15" s="35"/>
      <c r="C15" s="38"/>
      <c r="D15" s="1"/>
      <c r="E15" s="23"/>
      <c r="F15" s="37"/>
      <c r="G15" s="23"/>
      <c r="H15" s="23"/>
      <c r="I15" s="23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x14ac:dyDescent="0.25">
      <c r="A16" s="23" t="s">
        <v>154</v>
      </c>
      <c r="B16" s="35"/>
      <c r="C16" s="38"/>
      <c r="D16" s="1"/>
      <c r="E16" s="23"/>
      <c r="F16" s="37"/>
      <c r="G16" s="23"/>
      <c r="H16" s="23"/>
      <c r="I16" s="23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23" t="s">
        <v>154</v>
      </c>
      <c r="B17" s="35"/>
      <c r="C17" s="38"/>
      <c r="D17" s="1"/>
      <c r="E17" s="23"/>
      <c r="F17" s="37"/>
      <c r="G17" s="23"/>
      <c r="H17" s="23"/>
      <c r="I17" s="23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x14ac:dyDescent="0.25">
      <c r="A18" s="23" t="s">
        <v>154</v>
      </c>
      <c r="B18" s="35"/>
      <c r="C18" s="38"/>
      <c r="D18" s="1"/>
      <c r="E18" s="23"/>
      <c r="F18" s="37"/>
      <c r="G18" s="23"/>
      <c r="H18" s="23"/>
      <c r="I18" s="23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x14ac:dyDescent="0.25">
      <c r="A19" s="23" t="s">
        <v>154</v>
      </c>
      <c r="B19" s="35"/>
      <c r="C19" s="38"/>
      <c r="D19" s="1"/>
      <c r="E19" s="23"/>
      <c r="F19" s="37"/>
      <c r="G19" s="23"/>
      <c r="H19" s="23"/>
      <c r="I19" s="23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23" t="s">
        <v>154</v>
      </c>
      <c r="B20" s="35"/>
      <c r="C20" s="38"/>
      <c r="D20" s="1"/>
      <c r="E20" s="23"/>
      <c r="F20" s="37"/>
      <c r="G20" s="23"/>
      <c r="H20" s="23"/>
      <c r="I20" s="23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x14ac:dyDescent="0.25">
      <c r="A21" s="23" t="s">
        <v>154</v>
      </c>
      <c r="B21" s="35"/>
      <c r="C21" s="38"/>
      <c r="D21" s="1"/>
      <c r="E21" s="23"/>
      <c r="F21" s="37"/>
      <c r="G21" s="23"/>
      <c r="H21" s="23"/>
      <c r="I21" s="23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x14ac:dyDescent="0.25">
      <c r="A22" s="23" t="s">
        <v>154</v>
      </c>
      <c r="B22" s="35"/>
      <c r="C22" s="38"/>
      <c r="D22" s="1"/>
      <c r="E22" s="23"/>
      <c r="F22" s="37"/>
      <c r="G22" s="23"/>
      <c r="H22" s="23"/>
      <c r="I22" s="23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x14ac:dyDescent="0.25">
      <c r="A23" s="23" t="s">
        <v>154</v>
      </c>
      <c r="B23" s="35"/>
      <c r="C23" s="38"/>
      <c r="D23" s="1"/>
      <c r="E23" s="23"/>
      <c r="F23" s="37"/>
      <c r="G23" s="23"/>
      <c r="H23" s="23"/>
      <c r="I23" s="23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x14ac:dyDescent="0.25">
      <c r="A24" s="23" t="s">
        <v>154</v>
      </c>
      <c r="B24" s="35"/>
      <c r="C24" s="38"/>
      <c r="D24" s="1"/>
      <c r="E24" s="23"/>
      <c r="F24" s="37"/>
      <c r="G24" s="23"/>
      <c r="H24" s="23"/>
      <c r="I24" s="23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3" sqref="C3:C8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/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/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/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Mokinys_2</cp:lastModifiedBy>
  <dcterms:created xsi:type="dcterms:W3CDTF">2018-12-13T14:39:32Z</dcterms:created>
  <dcterms:modified xsi:type="dcterms:W3CDTF">2026-05-14T11:44:19Z</dcterms:modified>
</cp:coreProperties>
</file>