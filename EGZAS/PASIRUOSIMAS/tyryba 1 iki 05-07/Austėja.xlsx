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397F5535-2E6A-4FA4-9D64-E1F0BF1A055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3" l="1"/>
  <c r="G12" i="3"/>
  <c r="G13" i="3"/>
  <c r="H13" i="3" s="1"/>
  <c r="I13" i="3" s="1"/>
  <c r="G14" i="3"/>
  <c r="H14" i="3" s="1"/>
  <c r="I14" i="3" s="1"/>
  <c r="G15" i="3"/>
  <c r="G16" i="3"/>
  <c r="G17" i="3"/>
  <c r="G18" i="3"/>
  <c r="G19" i="3"/>
  <c r="G20" i="3"/>
  <c r="H20" i="3" s="1"/>
  <c r="I20" i="3" s="1"/>
  <c r="G21" i="3"/>
  <c r="H21" i="3" s="1"/>
  <c r="I21" i="3" s="1"/>
  <c r="G22" i="3"/>
  <c r="H22" i="3" s="1"/>
  <c r="I22" i="3" s="1"/>
  <c r="G23" i="3"/>
  <c r="G24" i="3"/>
  <c r="G10" i="3"/>
  <c r="H11" i="3"/>
  <c r="I11" i="3" s="1"/>
  <c r="H12" i="3"/>
  <c r="I12" i="3" s="1"/>
  <c r="H15" i="3"/>
  <c r="I15" i="3" s="1"/>
  <c r="H16" i="3"/>
  <c r="I16" i="3" s="1"/>
  <c r="H17" i="3"/>
  <c r="I17" i="3" s="1"/>
  <c r="H18" i="3"/>
  <c r="I18" i="3" s="1"/>
  <c r="H19" i="3"/>
  <c r="I19" i="3" s="1"/>
  <c r="H23" i="3"/>
  <c r="I23" i="3" s="1"/>
  <c r="H24" i="3"/>
  <c r="I24" i="3" s="1"/>
  <c r="H10" i="3"/>
  <c r="I10" i="3" s="1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10" i="3"/>
  <c r="E12" i="3"/>
  <c r="E11" i="3"/>
  <c r="E10" i="3"/>
  <c r="E13" i="3"/>
  <c r="E14" i="3"/>
  <c r="E15" i="3"/>
  <c r="E16" i="3"/>
  <c r="E17" i="3"/>
  <c r="E18" i="3"/>
  <c r="E19" i="3"/>
  <c r="E20" i="3"/>
  <c r="E21" i="3"/>
  <c r="E22" i="3"/>
  <c r="E23" i="3"/>
  <c r="E24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10" i="3"/>
  <c r="E6" i="2"/>
  <c r="D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M7" i="3"/>
  <c r="N14" i="3" l="1"/>
  <c r="N22" i="3"/>
  <c r="N21" i="3"/>
  <c r="N12" i="3"/>
  <c r="N13" i="3"/>
  <c r="N20" i="3"/>
  <c r="N19" i="3"/>
  <c r="N18" i="3"/>
  <c r="N17" i="3"/>
  <c r="N16" i="3"/>
  <c r="N15" i="3"/>
  <c r="N24" i="3"/>
  <c r="N23" i="3"/>
  <c r="N11" i="3"/>
  <c r="N10" i="3"/>
  <c r="L22" i="3"/>
  <c r="L21" i="3"/>
  <c r="L20" i="3"/>
  <c r="L19" i="3"/>
  <c r="L14" i="3"/>
  <c r="L18" i="3"/>
  <c r="L17" i="3"/>
  <c r="L16" i="3"/>
  <c r="L15" i="3"/>
  <c r="L10" i="3"/>
  <c r="L13" i="3"/>
  <c r="L24" i="3"/>
  <c r="L12" i="3"/>
  <c r="L23" i="3"/>
  <c r="L11" i="3"/>
  <c r="K22" i="3"/>
  <c r="K14" i="3"/>
  <c r="K21" i="3"/>
  <c r="K13" i="3"/>
  <c r="K20" i="3"/>
  <c r="K19" i="3"/>
  <c r="K18" i="3"/>
  <c r="K17" i="3"/>
  <c r="K16" i="3"/>
  <c r="K15" i="3"/>
  <c r="K24" i="3"/>
  <c r="K12" i="3"/>
  <c r="K23" i="3"/>
  <c r="K11" i="3"/>
  <c r="K10" i="3"/>
  <c r="J22" i="3"/>
  <c r="J21" i="3"/>
  <c r="J14" i="3"/>
  <c r="J13" i="3"/>
  <c r="J20" i="3"/>
  <c r="J19" i="3"/>
  <c r="J18" i="3"/>
  <c r="J17" i="3"/>
  <c r="J16" i="3"/>
  <c r="J15" i="3"/>
  <c r="J24" i="3"/>
  <c r="J12" i="3"/>
  <c r="J23" i="3"/>
  <c r="J11" i="3"/>
  <c r="J10" i="3"/>
  <c r="O14" i="3" l="1"/>
  <c r="X14" i="3" s="1"/>
  <c r="R14" i="3"/>
  <c r="S14" i="3"/>
  <c r="T14" i="3"/>
  <c r="P14" i="3"/>
  <c r="Q14" i="3" s="1"/>
  <c r="O11" i="3"/>
  <c r="X11" i="3" s="1"/>
  <c r="O10" i="3"/>
  <c r="X10" i="3" s="1"/>
  <c r="O21" i="3"/>
  <c r="X21" i="3" s="1"/>
  <c r="O12" i="3"/>
  <c r="X12" i="3" s="1"/>
  <c r="O22" i="3"/>
  <c r="X22" i="3" s="1"/>
  <c r="O13" i="3"/>
  <c r="X13" i="3" s="1"/>
  <c r="O15" i="3"/>
  <c r="X15" i="3" s="1"/>
  <c r="O16" i="3"/>
  <c r="X16" i="3" s="1"/>
  <c r="O17" i="3"/>
  <c r="X17" i="3" s="1"/>
  <c r="O24" i="3"/>
  <c r="X24" i="3" s="1"/>
  <c r="O19" i="3"/>
  <c r="X19" i="3" s="1"/>
  <c r="O23" i="3"/>
  <c r="X23" i="3" s="1"/>
  <c r="O18" i="3"/>
  <c r="X18" i="3" s="1"/>
  <c r="O20" i="3"/>
  <c r="X20" i="3" s="1"/>
  <c r="L7" i="3"/>
  <c r="K7" i="3"/>
  <c r="N7" i="3"/>
  <c r="U14" i="3" l="1"/>
  <c r="V14" i="3" s="1"/>
  <c r="Y14" i="3" s="1"/>
  <c r="W14" i="3"/>
  <c r="W22" i="3"/>
  <c r="W11" i="3"/>
  <c r="W21" i="3"/>
  <c r="W18" i="3"/>
  <c r="W17" i="3"/>
  <c r="W13" i="3"/>
  <c r="W12" i="3"/>
  <c r="W20" i="3"/>
  <c r="W23" i="3"/>
  <c r="W19" i="3"/>
  <c r="W24" i="3"/>
  <c r="W16" i="3"/>
  <c r="W15" i="3"/>
  <c r="W10" i="3"/>
  <c r="R22" i="3"/>
  <c r="R13" i="3"/>
  <c r="R12" i="3"/>
  <c r="R15" i="3"/>
  <c r="R11" i="3"/>
  <c r="R17" i="3"/>
  <c r="R21" i="3"/>
  <c r="R20" i="3"/>
  <c r="R18" i="3"/>
  <c r="R23" i="3"/>
  <c r="R19" i="3"/>
  <c r="R24" i="3"/>
  <c r="R16" i="3"/>
  <c r="R10" i="3"/>
  <c r="T10" i="3"/>
  <c r="S15" i="3"/>
  <c r="T15" i="3"/>
  <c r="S13" i="3"/>
  <c r="T13" i="3"/>
  <c r="S21" i="3"/>
  <c r="T21" i="3"/>
  <c r="S20" i="3"/>
  <c r="T20" i="3"/>
  <c r="S18" i="3"/>
  <c r="T18" i="3"/>
  <c r="S11" i="3"/>
  <c r="T11" i="3"/>
  <c r="S19" i="3"/>
  <c r="T19" i="3"/>
  <c r="S22" i="3"/>
  <c r="T22" i="3"/>
  <c r="S12" i="3"/>
  <c r="T12" i="3"/>
  <c r="S23" i="3"/>
  <c r="T23" i="3"/>
  <c r="S24" i="3"/>
  <c r="T24" i="3"/>
  <c r="S16" i="3"/>
  <c r="T16" i="3"/>
  <c r="S17" i="3"/>
  <c r="T17" i="3"/>
  <c r="S10" i="3"/>
  <c r="P13" i="3"/>
  <c r="Q13" i="3" s="1"/>
  <c r="U13" i="3" s="1"/>
  <c r="V13" i="3" s="1"/>
  <c r="Y13" i="3" s="1"/>
  <c r="P24" i="3"/>
  <c r="Q24" i="3" s="1"/>
  <c r="P16" i="3"/>
  <c r="Q16" i="3" s="1"/>
  <c r="P12" i="3"/>
  <c r="Q12" i="3" s="1"/>
  <c r="P11" i="3"/>
  <c r="Q11" i="3" s="1"/>
  <c r="P17" i="3"/>
  <c r="Q17" i="3" s="1"/>
  <c r="P22" i="3"/>
  <c r="Q22" i="3" s="1"/>
  <c r="P23" i="3"/>
  <c r="Q23" i="3" s="1"/>
  <c r="P15" i="3"/>
  <c r="Q15" i="3" s="1"/>
  <c r="P21" i="3"/>
  <c r="Q21" i="3" s="1"/>
  <c r="P20" i="3"/>
  <c r="Q20" i="3" s="1"/>
  <c r="P18" i="3"/>
  <c r="Q18" i="3" s="1"/>
  <c r="P19" i="3"/>
  <c r="Q19" i="3" s="1"/>
  <c r="P10" i="3"/>
  <c r="Q10" i="3" s="1"/>
  <c r="U10" i="3" s="1"/>
  <c r="V10" i="3" s="1"/>
  <c r="Y10" i="3" s="1"/>
  <c r="J7" i="3"/>
  <c r="X7" i="3" l="1"/>
  <c r="U12" i="3"/>
  <c r="V12" i="3" s="1"/>
  <c r="Y12" i="3" s="1"/>
  <c r="U15" i="3"/>
  <c r="V15" i="3" s="1"/>
  <c r="Y15" i="3" s="1"/>
  <c r="U11" i="3"/>
  <c r="V11" i="3" s="1"/>
  <c r="Y11" i="3" s="1"/>
  <c r="U19" i="3"/>
  <c r="V19" i="3" s="1"/>
  <c r="Y19" i="3" s="1"/>
  <c r="U20" i="3"/>
  <c r="V20" i="3" s="1"/>
  <c r="Y20" i="3" s="1"/>
  <c r="U17" i="3"/>
  <c r="V17" i="3" s="1"/>
  <c r="Y17" i="3" s="1"/>
  <c r="U24" i="3"/>
  <c r="V24" i="3" s="1"/>
  <c r="Y24" i="3" s="1"/>
  <c r="U18" i="3"/>
  <c r="V18" i="3" s="1"/>
  <c r="Y18" i="3" s="1"/>
  <c r="U16" i="3"/>
  <c r="V16" i="3" s="1"/>
  <c r="Y16" i="3" s="1"/>
  <c r="U21" i="3"/>
  <c r="V21" i="3" s="1"/>
  <c r="Y21" i="3" s="1"/>
  <c r="U23" i="3"/>
  <c r="V23" i="3" s="1"/>
  <c r="Y23" i="3" s="1"/>
  <c r="U22" i="3"/>
  <c r="V22" i="3" s="1"/>
  <c r="Y22" i="3" s="1"/>
  <c r="T7" i="3"/>
  <c r="R7" i="3"/>
  <c r="O7" i="3"/>
  <c r="S7" i="3"/>
  <c r="W7" i="3"/>
  <c r="P7" i="3" l="1"/>
  <c r="Q7" i="3"/>
  <c r="U7" i="3" l="1"/>
  <c r="Y7" i="3"/>
  <c r="V7" i="3"/>
</calcChain>
</file>

<file path=xl/sharedStrings.xml><?xml version="1.0" encoding="utf-8"?>
<sst xmlns="http://schemas.openxmlformats.org/spreadsheetml/2006/main" count="328" uniqueCount="172">
  <si>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</si>
  <si>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</si>
  <si>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</si>
  <si>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</si>
  <si>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</si>
  <si>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</si>
  <si>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</si>
  <si>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</si>
  <si>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</si>
  <si>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</si>
  <si>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</si>
  <si>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</si>
  <si>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</si>
  <si>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</si>
  <si>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</si>
  <si>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</si>
  <si>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</si>
  <si>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</si>
  <si>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</si>
  <si>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</si>
  <si>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</si>
  <si>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</si>
  <si>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</si>
  <si>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</si>
  <si>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</si>
  <si>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</si>
  <si>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</si>
  <si>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</si>
  <si>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</si>
  <si>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</si>
  <si>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</si>
  <si>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</si>
  <si>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</si>
  <si>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</si>
  <si>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</si>
  <si>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</si>
  <si>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</si>
  <si>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</si>
  <si>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</si>
  <si>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</si>
  <si>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</si>
  <si>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</si>
  <si>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</si>
  <si>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</si>
  <si>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</si>
  <si>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</si>
  <si>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</si>
  <si>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</si>
  <si>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</si>
  <si>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</si>
  <si>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</si>
  <si>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</si>
  <si>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</si>
  <si>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</si>
  <si>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</si>
  <si>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</si>
  <si>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</si>
  <si>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</si>
  <si>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</si>
  <si>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</si>
  <si>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</si>
  <si>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</si>
  <si>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</si>
  <si>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</si>
  <si>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</si>
  <si>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</si>
  <si>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</si>
  <si>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</si>
  <si>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</si>
  <si>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</si>
  <si>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</si>
  <si>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</si>
  <si>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</si>
  <si>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</si>
  <si>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</si>
  <si>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</si>
  <si>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</si>
  <si>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</si>
  <si>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</si>
  <si>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</si>
  <si>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</si>
  <si>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</si>
  <si>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</si>
  <si>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</si>
  <si>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</si>
  <si>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</si>
  <si>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</si>
  <si>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</si>
  <si>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</si>
  <si>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</si>
  <si>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</si>
  <si>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</si>
  <si>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</si>
  <si>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</si>
  <si>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</si>
  <si>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</si>
  <si>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</si>
  <si>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</si>
  <si>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</si>
  <si>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</si>
  <si>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</si>
  <si>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</si>
  <si>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</si>
  <si>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</si>
  <si>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</si>
  <si>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</si>
  <si>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</si>
  <si>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</si>
  <si>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</si>
  <si>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</si>
  <si>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</si>
  <si>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</si>
  <si>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</si>
  <si>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</si>
  <si>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</si>
  <si>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</si>
  <si>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</si>
  <si>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</si>
  <si>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</si>
  <si>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</si>
  <si>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</si>
  <si>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</si>
  <si>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</si>
  <si>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</si>
  <si>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</si>
  <si>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</si>
  <si>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</si>
  <si>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</si>
  <si>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</si>
  <si>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</si>
  <si>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</si>
  <si>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</si>
  <si>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</si>
  <si>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</si>
  <si>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</si>
  <si>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</si>
  <si>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</si>
  <si>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</si>
  <si>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</si>
  <si>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</si>
  <si>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</si>
  <si>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</si>
  <si>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</si>
  <si>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</si>
  <si>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</si>
  <si>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</si>
  <si>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</si>
  <si>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</si>
  <si>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</si>
  <si>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</si>
  <si>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</si>
  <si>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</si>
  <si>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</si>
  <si>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</si>
  <si>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</si>
  <si>
    <t>Darbuotojas1</t>
  </si>
  <si>
    <t>Darbuotojas2</t>
  </si>
  <si>
    <t>Darbuotojas3</t>
  </si>
  <si>
    <t>Darbuotojas4</t>
  </si>
  <si>
    <t>Darbuotojas5</t>
  </si>
  <si>
    <t>Darbuotojas6</t>
  </si>
  <si>
    <t>Darbuotojas7</t>
  </si>
  <si>
    <t>Darbuotojas8</t>
  </si>
  <si>
    <t>Darbuotojas9</t>
  </si>
  <si>
    <t>Darbuotojas10</t>
  </si>
  <si>
    <t>Darbuotojas11</t>
  </si>
  <si>
    <t>Darbuotojas12</t>
  </si>
  <si>
    <t>Darbuotojas13</t>
  </si>
  <si>
    <t>Darbuotojas14</t>
  </si>
  <si>
    <t>Darbuotojas15</t>
  </si>
  <si>
    <t>Kov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</si>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</sst>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yyyy\/mmm\/dd"/>
  </numFmts>
  <fonts count="1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0" fontId="8" fillId="0" borderId="1" xfId="0" applyFont="1" applyBorder="1" applyAlignment="1">
      <alignment horizontal="center"/>
    </xf>
    <xf numFmtId="2" fontId="9" fillId="0" borderId="1" xfId="2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</cellXfs>
  <cellStyles count="3">
    <cellStyle name="Įprastas" xfId="0" builtinId="0"/>
    <cellStyle name="Procentai" xfId="2" builtinId="5"/>
    <cellStyle name="Valiuta" xfId="1" builtinId="4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opLeftCell="C18" workbookViewId="0">
      <selection activeCell="C36" sqref="C36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122</v>
      </c>
    </row>
    <row r="21" spans="1:4" x14ac:dyDescent="0.25">
      <c r="A21">
        <v>4</v>
      </c>
      <c r="B21" s="8" t="s">
        <v>16</v>
      </c>
      <c r="C21" t="s">
        <v>126</v>
      </c>
      <c r="D21" t="s">
        <v>123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138</v>
      </c>
      <c r="D34" s="18"/>
      <c r="H34" s="30" t="s">
        <v>127</v>
      </c>
    </row>
    <row r="35" spans="1:18" ht="15.75" x14ac:dyDescent="0.25">
      <c r="A35">
        <v>18</v>
      </c>
      <c r="B35" s="8" t="s">
        <v>114</v>
      </c>
      <c r="C35" t="s">
        <v>116</v>
      </c>
      <c r="D35" t="s">
        <v>92</v>
      </c>
      <c r="G35" s="31" t="s">
        <v>128</v>
      </c>
      <c r="H35" t="s">
        <v>129</v>
      </c>
      <c r="M35" s="32"/>
    </row>
    <row r="36" spans="1:18" ht="17.25" customHeight="1" x14ac:dyDescent="0.25">
      <c r="A36">
        <v>19</v>
      </c>
      <c r="B36" s="8" t="s">
        <v>95</v>
      </c>
      <c r="C36" t="s">
        <v>124</v>
      </c>
      <c r="G36" s="31" t="s">
        <v>130</v>
      </c>
      <c r="H36" t="s">
        <v>131</v>
      </c>
      <c r="R36" t="s">
        <v>132</v>
      </c>
    </row>
    <row r="37" spans="1:18" x14ac:dyDescent="0.25">
      <c r="A37">
        <v>20</v>
      </c>
      <c r="B37" s="8" t="s">
        <v>47</v>
      </c>
      <c r="C37" t="s">
        <v>118</v>
      </c>
      <c r="G37" s="31" t="s">
        <v>133</v>
      </c>
      <c r="H37" t="s">
        <v>134</v>
      </c>
      <c r="R37" t="s">
        <v>135</v>
      </c>
    </row>
    <row r="38" spans="1:18" x14ac:dyDescent="0.25">
      <c r="A38">
        <v>21</v>
      </c>
      <c r="B38" s="8" t="s">
        <v>28</v>
      </c>
      <c r="C38" t="s">
        <v>58</v>
      </c>
      <c r="G38" s="31" t="s">
        <v>136</v>
      </c>
      <c r="H38" t="s">
        <v>137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117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121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40" t="s">
        <v>80</v>
      </c>
      <c r="C47" s="40"/>
    </row>
    <row r="48" spans="1:18" ht="15" customHeight="1" x14ac:dyDescent="0.25">
      <c r="A48">
        <v>29</v>
      </c>
      <c r="B48" s="41" t="s">
        <v>125</v>
      </c>
      <c r="C48" s="41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C34" sqref="C34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F23" sqref="F23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20.425781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">
        <v>1</v>
      </c>
      <c r="B6" s="1" t="s">
        <v>155</v>
      </c>
      <c r="C6" s="1" t="s">
        <v>40</v>
      </c>
      <c r="D6" s="1">
        <f>VLOOKUP(C6, Pareigybės!$B$4:$C$9,2,0)</f>
        <v>1600</v>
      </c>
      <c r="E6" s="34">
        <f>D6/(22*8)</f>
        <v>9.0909090909090917</v>
      </c>
      <c r="F6" s="34">
        <f ca="1">CHOOSE(RANDBETWEEN(1,2),150,200)</f>
        <v>200</v>
      </c>
      <c r="G6" s="10" t="s">
        <v>49</v>
      </c>
      <c r="H6" s="1" t="str">
        <f ca="1">CONCATENATE("+",370,RANDBETWEEN(1000000,9999999))</f>
        <v>+3709310122</v>
      </c>
      <c r="I6" s="1" t="s">
        <v>139</v>
      </c>
    </row>
    <row r="7" spans="1:13" x14ac:dyDescent="0.25">
      <c r="A7" s="1">
        <v>2</v>
      </c>
      <c r="B7" s="1" t="s">
        <v>156</v>
      </c>
      <c r="C7" s="1" t="s">
        <v>41</v>
      </c>
      <c r="D7" s="1">
        <f>VLOOKUP(C7, Pareigybės!$B$4:$C$9,2,0)</f>
        <v>1090</v>
      </c>
      <c r="E7" s="34">
        <f t="shared" ref="E7:E20" si="0">D7/(22*8)</f>
        <v>6.1931818181818183</v>
      </c>
      <c r="F7" s="34">
        <f t="shared" ref="F7:F20" ca="1" si="1">CHOOSE(RANDBETWEEN(1,2),150,200)</f>
        <v>200</v>
      </c>
      <c r="G7" s="10" t="s">
        <v>49</v>
      </c>
      <c r="H7" s="1" t="str">
        <f t="shared" ref="H7:H20" ca="1" si="2">CONCATENATE("+",370,RANDBETWEEN(1000000,9999999))</f>
        <v>+3704792821</v>
      </c>
      <c r="I7" s="1" t="s">
        <v>140</v>
      </c>
    </row>
    <row r="8" spans="1:13" x14ac:dyDescent="0.25">
      <c r="A8" s="1">
        <v>3</v>
      </c>
      <c r="B8" s="1" t="s">
        <v>157</v>
      </c>
      <c r="C8" s="1" t="s">
        <v>43</v>
      </c>
      <c r="D8" s="1">
        <f>VLOOKUP(C8, Pareigybės!$B$4:$C$9,2,0)</f>
        <v>980</v>
      </c>
      <c r="E8" s="34">
        <f t="shared" si="0"/>
        <v>5.5681818181818183</v>
      </c>
      <c r="F8" s="34">
        <f t="shared" ca="1" si="1"/>
        <v>150</v>
      </c>
      <c r="G8" s="10" t="s">
        <v>49</v>
      </c>
      <c r="H8" s="1" t="str">
        <f t="shared" ca="1" si="2"/>
        <v>+3703713712</v>
      </c>
      <c r="I8" s="1" t="s">
        <v>141</v>
      </c>
    </row>
    <row r="9" spans="1:13" x14ac:dyDescent="0.25">
      <c r="A9" s="1">
        <v>4</v>
      </c>
      <c r="B9" s="1" t="s">
        <v>158</v>
      </c>
      <c r="C9" s="1" t="s">
        <v>43</v>
      </c>
      <c r="D9" s="1">
        <f>VLOOKUP(C9, Pareigybės!$B$4:$C$9,2,0)</f>
        <v>980</v>
      </c>
      <c r="E9" s="34">
        <f t="shared" si="0"/>
        <v>5.5681818181818183</v>
      </c>
      <c r="F9" s="34">
        <f t="shared" ca="1" si="1"/>
        <v>150</v>
      </c>
      <c r="G9" s="10" t="s">
        <v>49</v>
      </c>
      <c r="H9" s="1" t="str">
        <f t="shared" ca="1" si="2"/>
        <v>+3707643561</v>
      </c>
      <c r="I9" s="1" t="s">
        <v>142</v>
      </c>
    </row>
    <row r="10" spans="1:13" x14ac:dyDescent="0.25">
      <c r="A10" s="1">
        <v>5</v>
      </c>
      <c r="B10" s="1" t="s">
        <v>159</v>
      </c>
      <c r="C10" s="1" t="s">
        <v>1</v>
      </c>
      <c r="D10" s="1">
        <f>VLOOKUP(C10, Pareigybės!$B$4:$C$9,2,0)</f>
        <v>1199</v>
      </c>
      <c r="E10" s="34">
        <f t="shared" si="0"/>
        <v>6.8125</v>
      </c>
      <c r="F10" s="34">
        <f t="shared" ca="1" si="1"/>
        <v>150</v>
      </c>
      <c r="G10" s="10" t="s">
        <v>49</v>
      </c>
      <c r="H10" s="1" t="str">
        <f t="shared" ca="1" si="2"/>
        <v>+3702060735</v>
      </c>
      <c r="I10" s="1" t="s">
        <v>143</v>
      </c>
      <c r="M10" s="33"/>
    </row>
    <row r="11" spans="1:13" x14ac:dyDescent="0.25">
      <c r="A11" s="1">
        <v>6</v>
      </c>
      <c r="B11" s="1" t="s">
        <v>160</v>
      </c>
      <c r="C11" s="1" t="s">
        <v>3</v>
      </c>
      <c r="D11" s="1">
        <f>VLOOKUP(C11, Pareigybės!$B$4:$C$9,2,0)</f>
        <v>2800</v>
      </c>
      <c r="E11" s="34">
        <f t="shared" si="0"/>
        <v>15.909090909090908</v>
      </c>
      <c r="F11" s="34">
        <f t="shared" ca="1" si="1"/>
        <v>150</v>
      </c>
      <c r="G11" s="10" t="s">
        <v>49</v>
      </c>
      <c r="H11" s="1" t="str">
        <f t="shared" ca="1" si="2"/>
        <v>+3702837916</v>
      </c>
      <c r="I11" s="1" t="s">
        <v>144</v>
      </c>
      <c r="M11" s="33"/>
    </row>
    <row r="12" spans="1:13" x14ac:dyDescent="0.25">
      <c r="A12" s="1">
        <v>7</v>
      </c>
      <c r="B12" s="1" t="s">
        <v>161</v>
      </c>
      <c r="C12" s="1" t="s">
        <v>1</v>
      </c>
      <c r="D12" s="1">
        <f>VLOOKUP(C12, Pareigybės!$B$4:$C$9,2,0)</f>
        <v>1199</v>
      </c>
      <c r="E12" s="34">
        <f t="shared" si="0"/>
        <v>6.8125</v>
      </c>
      <c r="F12" s="34">
        <f t="shared" ca="1" si="1"/>
        <v>150</v>
      </c>
      <c r="G12" s="10" t="s">
        <v>49</v>
      </c>
      <c r="H12" s="1" t="str">
        <f t="shared" ca="1" si="2"/>
        <v>+3705893988</v>
      </c>
      <c r="I12" s="1" t="s">
        <v>145</v>
      </c>
    </row>
    <row r="13" spans="1:13" x14ac:dyDescent="0.25">
      <c r="A13" s="1">
        <v>8</v>
      </c>
      <c r="B13" s="1" t="s">
        <v>162</v>
      </c>
      <c r="C13" s="1" t="s">
        <v>43</v>
      </c>
      <c r="D13" s="1">
        <f>VLOOKUP(C13, Pareigybės!$B$4:$C$9,2,0)</f>
        <v>980</v>
      </c>
      <c r="E13" s="34">
        <f t="shared" si="0"/>
        <v>5.5681818181818183</v>
      </c>
      <c r="F13" s="34">
        <f t="shared" ca="1" si="1"/>
        <v>150</v>
      </c>
      <c r="G13" s="10" t="s">
        <v>49</v>
      </c>
      <c r="H13" s="1" t="str">
        <f t="shared" ca="1" si="2"/>
        <v>+3704736877</v>
      </c>
      <c r="I13" s="1" t="s">
        <v>146</v>
      </c>
    </row>
    <row r="14" spans="1:13" x14ac:dyDescent="0.25">
      <c r="A14" s="1">
        <v>9</v>
      </c>
      <c r="B14" s="1" t="s">
        <v>163</v>
      </c>
      <c r="C14" s="1" t="s">
        <v>40</v>
      </c>
      <c r="D14" s="1">
        <f>VLOOKUP(C14, Pareigybės!$B$4:$C$9,2,0)</f>
        <v>1600</v>
      </c>
      <c r="E14" s="34">
        <f t="shared" si="0"/>
        <v>9.0909090909090917</v>
      </c>
      <c r="F14" s="34">
        <f t="shared" ca="1" si="1"/>
        <v>150</v>
      </c>
      <c r="G14" s="10" t="s">
        <v>49</v>
      </c>
      <c r="H14" s="1" t="str">
        <f t="shared" ca="1" si="2"/>
        <v>+3702862979</v>
      </c>
      <c r="I14" s="1" t="s">
        <v>147</v>
      </c>
    </row>
    <row r="15" spans="1:13" x14ac:dyDescent="0.25">
      <c r="A15" s="1">
        <v>10</v>
      </c>
      <c r="B15" s="1" t="s">
        <v>164</v>
      </c>
      <c r="C15" s="1" t="s">
        <v>43</v>
      </c>
      <c r="D15" s="1">
        <f>VLOOKUP(C15, Pareigybės!$B$4:$C$9,2,0)</f>
        <v>980</v>
      </c>
      <c r="E15" s="34">
        <f t="shared" si="0"/>
        <v>5.5681818181818183</v>
      </c>
      <c r="F15" s="34">
        <f t="shared" ca="1" si="1"/>
        <v>200</v>
      </c>
      <c r="G15" s="10" t="s">
        <v>49</v>
      </c>
      <c r="H15" s="1" t="str">
        <f t="shared" ca="1" si="2"/>
        <v>+3704692464</v>
      </c>
      <c r="I15" s="1" t="s">
        <v>148</v>
      </c>
    </row>
    <row r="16" spans="1:13" x14ac:dyDescent="0.25">
      <c r="A16" s="1">
        <v>11</v>
      </c>
      <c r="B16" s="1" t="s">
        <v>165</v>
      </c>
      <c r="C16" s="1" t="s">
        <v>43</v>
      </c>
      <c r="D16" s="1">
        <f>VLOOKUP(C16, Pareigybės!$B$4:$C$9,2,0)</f>
        <v>980</v>
      </c>
      <c r="E16" s="34">
        <f t="shared" si="0"/>
        <v>5.5681818181818183</v>
      </c>
      <c r="F16" s="34">
        <f t="shared" ca="1" si="1"/>
        <v>200</v>
      </c>
      <c r="G16" s="10" t="s">
        <v>49</v>
      </c>
      <c r="H16" s="1" t="str">
        <f t="shared" ca="1" si="2"/>
        <v>+3709229730</v>
      </c>
      <c r="I16" s="1" t="s">
        <v>149</v>
      </c>
    </row>
    <row r="17" spans="1:9" x14ac:dyDescent="0.25">
      <c r="A17" s="1">
        <v>12</v>
      </c>
      <c r="B17" s="1" t="s">
        <v>166</v>
      </c>
      <c r="C17" s="1" t="s">
        <v>43</v>
      </c>
      <c r="D17" s="1">
        <f>VLOOKUP(C17, Pareigybės!$B$4:$C$9,2,0)</f>
        <v>980</v>
      </c>
      <c r="E17" s="34">
        <f t="shared" si="0"/>
        <v>5.5681818181818183</v>
      </c>
      <c r="F17" s="34">
        <f t="shared" ca="1" si="1"/>
        <v>200</v>
      </c>
      <c r="G17" s="10" t="s">
        <v>49</v>
      </c>
      <c r="H17" s="1" t="str">
        <f t="shared" ca="1" si="2"/>
        <v>+3701311003</v>
      </c>
      <c r="I17" s="1" t="s">
        <v>150</v>
      </c>
    </row>
    <row r="18" spans="1:9" x14ac:dyDescent="0.25">
      <c r="A18" s="1">
        <v>13</v>
      </c>
      <c r="B18" s="1" t="s">
        <v>167</v>
      </c>
      <c r="C18" s="1" t="s">
        <v>2</v>
      </c>
      <c r="D18" s="1">
        <f>VLOOKUP(C18, Pareigybės!$B$4:$C$9,2,0)</f>
        <v>1505</v>
      </c>
      <c r="E18" s="34">
        <f t="shared" si="0"/>
        <v>8.5511363636363633</v>
      </c>
      <c r="F18" s="34">
        <f t="shared" ca="1" si="1"/>
        <v>150</v>
      </c>
      <c r="G18" s="10" t="s">
        <v>49</v>
      </c>
      <c r="H18" s="1" t="str">
        <f t="shared" ca="1" si="2"/>
        <v>+3705755109</v>
      </c>
      <c r="I18" s="1" t="s">
        <v>151</v>
      </c>
    </row>
    <row r="19" spans="1:9" x14ac:dyDescent="0.25">
      <c r="A19" s="1">
        <v>14</v>
      </c>
      <c r="B19" s="1" t="s">
        <v>168</v>
      </c>
      <c r="C19" s="1" t="s">
        <v>43</v>
      </c>
      <c r="D19" s="1">
        <f>VLOOKUP(C19, Pareigybės!$B$4:$C$9,2,0)</f>
        <v>980</v>
      </c>
      <c r="E19" s="34">
        <f t="shared" si="0"/>
        <v>5.5681818181818183</v>
      </c>
      <c r="F19" s="34">
        <f t="shared" ca="1" si="1"/>
        <v>200</v>
      </c>
      <c r="G19" s="10" t="s">
        <v>49</v>
      </c>
      <c r="H19" s="1" t="str">
        <f t="shared" ca="1" si="2"/>
        <v>+3704147943</v>
      </c>
      <c r="I19" s="1" t="s">
        <v>152</v>
      </c>
    </row>
    <row r="20" spans="1:9" x14ac:dyDescent="0.25">
      <c r="A20" s="1">
        <v>15</v>
      </c>
      <c r="B20" s="1" t="s">
        <v>169</v>
      </c>
      <c r="C20" s="1" t="s">
        <v>41</v>
      </c>
      <c r="D20" s="1">
        <f>VLOOKUP(C20, Pareigybės!$B$4:$C$9,2,0)</f>
        <v>1090</v>
      </c>
      <c r="E20" s="34">
        <f t="shared" si="0"/>
        <v>6.1931818181818183</v>
      </c>
      <c r="F20" s="34">
        <f t="shared" ca="1" si="1"/>
        <v>200</v>
      </c>
      <c r="G20" s="10" t="s">
        <v>49</v>
      </c>
      <c r="H20" s="1" t="str">
        <f t="shared" ca="1" si="2"/>
        <v>+3703732206</v>
      </c>
      <c r="I20" s="1" t="s">
        <v>153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83"/>
  <sheetViews>
    <sheetView zoomScale="85" zoomScaleNormal="85" workbookViewId="0">
      <selection activeCell="Y27" sqref="Y27"/>
    </sheetView>
  </sheetViews>
  <sheetFormatPr defaultColWidth="9.140625" defaultRowHeight="15" x14ac:dyDescent="0.25"/>
  <cols>
    <col min="1" max="1" width="24.28515625" style="19" bestFit="1" customWidth="1"/>
    <col min="2" max="2" width="4.85546875" style="19" customWidth="1"/>
    <col min="3" max="3" width="22.5703125" style="19" customWidth="1"/>
    <col min="4" max="4" width="18.5703125" style="19" customWidth="1"/>
    <col min="5" max="5" width="12.140625" style="19" customWidth="1"/>
    <col min="6" max="6" width="11.7109375" style="19" customWidth="1"/>
    <col min="7" max="7" width="11.5703125" style="19" customWidth="1"/>
    <col min="8" max="8" width="9.5703125" style="19" customWidth="1"/>
    <col min="9" max="9" width="10.85546875" style="19" customWidth="1"/>
    <col min="10" max="10" width="13.28515625" style="19" customWidth="1"/>
    <col min="11" max="11" width="12.28515625" style="19" customWidth="1"/>
    <col min="12" max="12" width="12.7109375" style="19" customWidth="1"/>
    <col min="13" max="13" width="13.28515625" style="19" customWidth="1"/>
    <col min="14" max="14" width="15" style="19" customWidth="1"/>
    <col min="15" max="15" width="13.28515625" style="19" customWidth="1"/>
    <col min="16" max="16" width="11" style="19" customWidth="1"/>
    <col min="17" max="17" width="10.140625" style="19" customWidth="1"/>
    <col min="18" max="18" width="8.7109375" style="19" customWidth="1"/>
    <col min="19" max="19" width="10.85546875" style="19" customWidth="1"/>
    <col min="20" max="20" width="11.42578125" style="19" customWidth="1"/>
    <col min="21" max="21" width="11.7109375" style="19" customWidth="1"/>
    <col min="22" max="22" width="11.28515625" style="19" customWidth="1"/>
    <col min="23" max="23" width="11.5703125" style="19" customWidth="1"/>
    <col min="24" max="24" width="13.5703125" style="19" bestFit="1" customWidth="1"/>
    <col min="25" max="25" width="11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42" t="s">
        <v>4</v>
      </c>
      <c r="K1" s="42"/>
      <c r="L1" s="22">
        <v>2E-3</v>
      </c>
      <c r="N1" s="44" t="s">
        <v>97</v>
      </c>
      <c r="O1" s="44"/>
      <c r="P1" s="44"/>
      <c r="Q1" s="44"/>
      <c r="R1" s="28">
        <v>1.6000000000000001E-3</v>
      </c>
      <c r="S1" s="36"/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43" t="s">
        <v>76</v>
      </c>
      <c r="K2" s="43"/>
      <c r="L2" s="23"/>
      <c r="N2" s="44" t="s">
        <v>98</v>
      </c>
      <c r="O2" s="44"/>
      <c r="P2" s="44"/>
      <c r="Q2" s="44"/>
      <c r="R2" s="24">
        <v>1.4E-3</v>
      </c>
      <c r="S2" s="37"/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 t="s">
        <v>170</v>
      </c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 ca="1">SUM(J10:J24)</f>
        <v>15594.04761904762</v>
      </c>
      <c r="K7" s="23">
        <f t="shared" ref="K7:X7" ca="1" si="0">SUM(K10:K24)</f>
        <v>100</v>
      </c>
      <c r="L7" s="23">
        <f t="shared" ca="1" si="0"/>
        <v>2366.363636363636</v>
      </c>
      <c r="M7" s="23">
        <f t="shared" si="0"/>
        <v>0</v>
      </c>
      <c r="N7" s="23">
        <f t="shared" ca="1" si="0"/>
        <v>830.36363636363649</v>
      </c>
      <c r="O7" s="23">
        <f t="shared" ca="1" si="0"/>
        <v>18890.774891774894</v>
      </c>
      <c r="P7" s="23">
        <f t="shared" ca="1" si="0"/>
        <v>4922.7342857142858</v>
      </c>
      <c r="Q7" s="23">
        <f t="shared" ca="1" si="0"/>
        <v>2793.6081212121217</v>
      </c>
      <c r="R7" s="23">
        <f t="shared" ca="1" si="0"/>
        <v>1318.5760874458874</v>
      </c>
      <c r="S7" s="23">
        <f t="shared" ca="1" si="0"/>
        <v>1318.5760874458874</v>
      </c>
      <c r="T7" s="23">
        <f t="shared" ca="1" si="0"/>
        <v>566.72324675324671</v>
      </c>
      <c r="U7" s="23">
        <f t="shared" ca="1" si="0"/>
        <v>5997.4835428571423</v>
      </c>
      <c r="V7" s="23">
        <f t="shared" ca="1" si="0"/>
        <v>12893.291348917744</v>
      </c>
      <c r="W7" s="23">
        <f t="shared" ca="1" si="0"/>
        <v>334.3667155844156</v>
      </c>
      <c r="X7" s="23">
        <f t="shared" ca="1" si="0"/>
        <v>37.781549783549785</v>
      </c>
      <c r="Y7" s="23">
        <f ca="1">SUM(Y10:Y24)</f>
        <v>12855.509799134199</v>
      </c>
    </row>
    <row r="9" spans="1:25" s="27" customFormat="1" ht="60" x14ac:dyDescent="0.25">
      <c r="A9" s="26" t="s">
        <v>14</v>
      </c>
      <c r="B9" s="26" t="s">
        <v>15</v>
      </c>
      <c r="C9" s="26" t="s">
        <v>16</v>
      </c>
      <c r="D9" s="26" t="s">
        <v>8</v>
      </c>
      <c r="E9" s="26" t="s">
        <v>101</v>
      </c>
      <c r="F9" s="26" t="s">
        <v>102</v>
      </c>
      <c r="G9" s="26" t="s">
        <v>18</v>
      </c>
      <c r="H9" s="26" t="s">
        <v>19</v>
      </c>
      <c r="I9" s="26" t="s">
        <v>20</v>
      </c>
      <c r="J9" s="26" t="s">
        <v>103</v>
      </c>
      <c r="K9" s="26" t="s">
        <v>104</v>
      </c>
      <c r="L9" s="26" t="s">
        <v>23</v>
      </c>
      <c r="M9" s="26" t="s">
        <v>24</v>
      </c>
      <c r="N9" s="26" t="s">
        <v>25</v>
      </c>
      <c r="O9" s="26" t="s">
        <v>26</v>
      </c>
      <c r="P9" s="26" t="s">
        <v>105</v>
      </c>
      <c r="Q9" s="26" t="s">
        <v>111</v>
      </c>
      <c r="R9" s="26" t="s">
        <v>99</v>
      </c>
      <c r="S9" s="26" t="s">
        <v>100</v>
      </c>
      <c r="T9" s="26" t="s">
        <v>47</v>
      </c>
      <c r="U9" s="26" t="s">
        <v>28</v>
      </c>
      <c r="V9" s="26" t="s">
        <v>29</v>
      </c>
      <c r="W9" s="26" t="s">
        <v>30</v>
      </c>
      <c r="X9" s="26" t="s">
        <v>31</v>
      </c>
      <c r="Y9" s="26" t="s">
        <v>32</v>
      </c>
    </row>
    <row r="10" spans="1:25" x14ac:dyDescent="0.25">
      <c r="A10" s="23" t="s">
        <v>154</v>
      </c>
      <c r="B10" s="35">
        <v>1</v>
      </c>
      <c r="C10" s="38">
        <f>EOMONTH(DATE(2026,3,31),0)</f>
        <v>46112</v>
      </c>
      <c r="D10" s="1" t="s">
        <v>155</v>
      </c>
      <c r="E10" s="23">
        <f>VLOOKUP(D10,Darbuotojai!B6:D20,3,FALSE)</f>
        <v>1600</v>
      </c>
      <c r="F10" s="37">
        <f>VLOOKUP(D10,Darbuotojai!B6:E20,4,FALSE)</f>
        <v>9.0909090909090917</v>
      </c>
      <c r="G10" s="23">
        <f>NETWORKDAYS(DATE(2026,3,1),DATE(2026,3,31),DATE(2026,3,11))</f>
        <v>21</v>
      </c>
      <c r="H10" s="23">
        <f ca="1">RANDBETWEEN(15,G10)</f>
        <v>16</v>
      </c>
      <c r="I10" s="23">
        <f ca="1">H10*8</f>
        <v>128</v>
      </c>
      <c r="J10" s="37">
        <f ca="1">E10*H10/G10</f>
        <v>1219.047619047619</v>
      </c>
      <c r="K10" s="37">
        <f ca="1">IF(H10=G10,50,0)</f>
        <v>0</v>
      </c>
      <c r="L10" s="37">
        <f ca="1">IF(G10-H10&gt;4,8*F10*(G10-H10),0)</f>
        <v>363.63636363636368</v>
      </c>
      <c r="M10" s="37">
        <v>0</v>
      </c>
      <c r="N10" s="37">
        <f ca="1">IF(G10-H10&lt;4,8*F10*(G10-H10),0)</f>
        <v>0</v>
      </c>
      <c r="O10" s="37">
        <f ca="1">SUM(J10:N10)</f>
        <v>1582.6839826839828</v>
      </c>
      <c r="P10" s="37">
        <f ca="1">IF(O10&lt;=730,460,IF(O10&lt;1670,460-0.26*(O10-730),MAX(0,400-0.18*(O10-642))))</f>
        <v>238.30216450216446</v>
      </c>
      <c r="Q10" s="37">
        <f ca="1">(O10-P10)*$G$1</f>
        <v>268.87636363636369</v>
      </c>
      <c r="R10" s="37">
        <f ca="1">(O10*$G$4)</f>
        <v>110.471341991342</v>
      </c>
      <c r="S10" s="37">
        <f ca="1">O10*$G$4</f>
        <v>110.471341991342</v>
      </c>
      <c r="T10" s="37">
        <f ca="1">O10*$G$6</f>
        <v>47.480519480519483</v>
      </c>
      <c r="U10" s="37">
        <f ca="1">SUM(Q10:T10)</f>
        <v>537.29956709956718</v>
      </c>
      <c r="V10" s="37">
        <f ca="1">O10-U10</f>
        <v>1045.3844155844156</v>
      </c>
      <c r="W10" s="37">
        <f ca="1">O10*$G$5</f>
        <v>28.013506493506497</v>
      </c>
      <c r="X10" s="37">
        <f ca="1">O10*$L$1</f>
        <v>3.1653679653679658</v>
      </c>
      <c r="Y10" s="37">
        <f ca="1">V10-X10</f>
        <v>1042.2190476190476</v>
      </c>
    </row>
    <row r="11" spans="1:25" x14ac:dyDescent="0.25">
      <c r="A11" s="23" t="s">
        <v>154</v>
      </c>
      <c r="B11" s="35">
        <v>2</v>
      </c>
      <c r="C11" s="38">
        <f t="shared" ref="C11:C24" si="1">EOMONTH(DATE(2026,3,31),0)</f>
        <v>46112</v>
      </c>
      <c r="D11" s="1" t="s">
        <v>156</v>
      </c>
      <c r="E11" s="23">
        <f>VLOOKUP(D11,Darbuotojai!B7:D21,3,FALSE)</f>
        <v>1090</v>
      </c>
      <c r="F11" s="37">
        <f>VLOOKUP(D11,Darbuotojai!B7:E21,4,FALSE)</f>
        <v>6.1931818181818183</v>
      </c>
      <c r="G11" s="23">
        <f t="shared" ref="G11:G24" si="2">NETWORKDAYS(DATE(2026,3,1),DATE(2026,3,31),DATE(2026,3,11))</f>
        <v>21</v>
      </c>
      <c r="H11" s="23">
        <f t="shared" ref="H11:H24" ca="1" si="3">RANDBETWEEN(15,G11)</f>
        <v>19</v>
      </c>
      <c r="I11" s="23">
        <f t="shared" ref="I11:I24" ca="1" si="4">H11*8</f>
        <v>152</v>
      </c>
      <c r="J11" s="37">
        <f t="shared" ref="J11:J24" ca="1" si="5">E11*H11/G11</f>
        <v>986.19047619047615</v>
      </c>
      <c r="K11" s="37">
        <f t="shared" ref="K11:K24" ca="1" si="6">IF(H11=G11,50,0)</f>
        <v>0</v>
      </c>
      <c r="L11" s="37">
        <f t="shared" ref="L11:L24" ca="1" si="7">IF(G11-H11&gt;4,8*F11*(G11-H11),0)</f>
        <v>0</v>
      </c>
      <c r="M11" s="37">
        <v>0</v>
      </c>
      <c r="N11" s="37">
        <f t="shared" ref="N11:N24" ca="1" si="8">IF(G11-H11&lt;4,8*F11*(G11-H11),0)</f>
        <v>99.090909090909093</v>
      </c>
      <c r="O11" s="37">
        <f t="shared" ref="O11:O24" ca="1" si="9">SUM(J11:N11)</f>
        <v>1085.2813852813852</v>
      </c>
      <c r="P11" s="37">
        <f t="shared" ref="P11:P24" ca="1" si="10">IF(O11&lt;=730,460,IF(O11&lt;1670,460-0.26*(O11-730),MAX(0,400-0.18*(O11-642))))</f>
        <v>367.62683982683984</v>
      </c>
      <c r="Q11" s="37">
        <f t="shared" ref="Q11:Q24" ca="1" si="11">(O11-P11)*$G$1</f>
        <v>143.53090909090906</v>
      </c>
      <c r="R11" s="37">
        <f t="shared" ref="R11:R24" ca="1" si="12">(O11*$G$4)</f>
        <v>75.752640692640682</v>
      </c>
      <c r="S11" s="37">
        <f t="shared" ref="S11:S24" ca="1" si="13">O11*$G$4</f>
        <v>75.752640692640682</v>
      </c>
      <c r="T11" s="37">
        <f t="shared" ref="T11:T24" ca="1" si="14">O11*$G$6</f>
        <v>32.558441558441551</v>
      </c>
      <c r="U11" s="37">
        <f t="shared" ref="U11:U24" ca="1" si="15">SUM(Q11:T11)</f>
        <v>327.59463203463196</v>
      </c>
      <c r="V11" s="37">
        <f t="shared" ref="V11:V24" ca="1" si="16">O11-U11</f>
        <v>757.68675324675314</v>
      </c>
      <c r="W11" s="37">
        <f t="shared" ref="W11:W24" ca="1" si="17">O11*$G$5</f>
        <v>19.209480519480518</v>
      </c>
      <c r="X11" s="37">
        <f t="shared" ref="X11:X24" ca="1" si="18">O11*$L$1</f>
        <v>2.1705627705627704</v>
      </c>
      <c r="Y11" s="37">
        <f t="shared" ref="Y11:Y24" ca="1" si="19">V11-X11</f>
        <v>755.51619047619033</v>
      </c>
    </row>
    <row r="12" spans="1:25" x14ac:dyDescent="0.25">
      <c r="A12" s="23" t="s">
        <v>154</v>
      </c>
      <c r="B12" s="39">
        <v>3</v>
      </c>
      <c r="C12" s="38">
        <f t="shared" si="1"/>
        <v>46112</v>
      </c>
      <c r="D12" s="1" t="s">
        <v>157</v>
      </c>
      <c r="E12" s="23">
        <f>VLOOKUP(D12,Darbuotojai!B8:D22,3,FALSE)</f>
        <v>980</v>
      </c>
      <c r="F12" s="37">
        <f>VLOOKUP(D12,Darbuotojai!B8:E22,4,FALSE)</f>
        <v>5.5681818181818183</v>
      </c>
      <c r="G12" s="23">
        <f t="shared" si="2"/>
        <v>21</v>
      </c>
      <c r="H12" s="23">
        <f t="shared" ca="1" si="3"/>
        <v>15</v>
      </c>
      <c r="I12" s="23">
        <f t="shared" ca="1" si="4"/>
        <v>120</v>
      </c>
      <c r="J12" s="37">
        <f t="shared" ca="1" si="5"/>
        <v>700</v>
      </c>
      <c r="K12" s="37">
        <f t="shared" ca="1" si="6"/>
        <v>0</v>
      </c>
      <c r="L12" s="37">
        <f t="shared" ca="1" si="7"/>
        <v>267.27272727272725</v>
      </c>
      <c r="M12" s="37">
        <v>0</v>
      </c>
      <c r="N12" s="37">
        <f t="shared" ca="1" si="8"/>
        <v>0</v>
      </c>
      <c r="O12" s="37">
        <f t="shared" ca="1" si="9"/>
        <v>967.27272727272725</v>
      </c>
      <c r="P12" s="37">
        <f t="shared" ca="1" si="10"/>
        <v>398.30909090909091</v>
      </c>
      <c r="Q12" s="37">
        <f t="shared" ca="1" si="11"/>
        <v>113.79272727272729</v>
      </c>
      <c r="R12" s="37">
        <f t="shared" ca="1" si="12"/>
        <v>67.515636363636361</v>
      </c>
      <c r="S12" s="37">
        <f t="shared" ca="1" si="13"/>
        <v>67.515636363636361</v>
      </c>
      <c r="T12" s="37">
        <f t="shared" ca="1" si="14"/>
        <v>29.018181818181816</v>
      </c>
      <c r="U12" s="37">
        <f t="shared" ca="1" si="15"/>
        <v>277.84218181818181</v>
      </c>
      <c r="V12" s="37">
        <f t="shared" ca="1" si="16"/>
        <v>689.43054545454538</v>
      </c>
      <c r="W12" s="37">
        <f t="shared" ca="1" si="17"/>
        <v>17.120727272727272</v>
      </c>
      <c r="X12" s="37">
        <f t="shared" ca="1" si="18"/>
        <v>1.9345454545454546</v>
      </c>
      <c r="Y12" s="37">
        <f t="shared" ca="1" si="19"/>
        <v>687.49599999999998</v>
      </c>
    </row>
    <row r="13" spans="1:25" x14ac:dyDescent="0.25">
      <c r="A13" s="23" t="s">
        <v>154</v>
      </c>
      <c r="B13" s="39">
        <v>4</v>
      </c>
      <c r="C13" s="38">
        <f t="shared" si="1"/>
        <v>46112</v>
      </c>
      <c r="D13" s="1" t="s">
        <v>158</v>
      </c>
      <c r="E13" s="23">
        <f>VLOOKUP(D13,Darbuotojai!B9:D23,3,FALSE)</f>
        <v>980</v>
      </c>
      <c r="F13" s="37">
        <f>VLOOKUP(D13,Darbuotojai!B9:E23,4,FALSE)</f>
        <v>5.5681818181818183</v>
      </c>
      <c r="G13" s="23">
        <f t="shared" si="2"/>
        <v>21</v>
      </c>
      <c r="H13" s="23">
        <f t="shared" ca="1" si="3"/>
        <v>18</v>
      </c>
      <c r="I13" s="23">
        <f t="shared" ca="1" si="4"/>
        <v>144</v>
      </c>
      <c r="J13" s="37">
        <f t="shared" ca="1" si="5"/>
        <v>840</v>
      </c>
      <c r="K13" s="37">
        <f t="shared" ca="1" si="6"/>
        <v>0</v>
      </c>
      <c r="L13" s="37">
        <f t="shared" ca="1" si="7"/>
        <v>0</v>
      </c>
      <c r="M13" s="37">
        <v>0</v>
      </c>
      <c r="N13" s="37">
        <f t="shared" ca="1" si="8"/>
        <v>133.63636363636363</v>
      </c>
      <c r="O13" s="37">
        <f t="shared" ca="1" si="9"/>
        <v>973.63636363636363</v>
      </c>
      <c r="P13" s="37">
        <f t="shared" ca="1" si="10"/>
        <v>396.65454545454543</v>
      </c>
      <c r="Q13" s="37">
        <f t="shared" ca="1" si="11"/>
        <v>115.39636363636365</v>
      </c>
      <c r="R13" s="37">
        <f t="shared" ca="1" si="12"/>
        <v>67.959818181818179</v>
      </c>
      <c r="S13" s="37">
        <f t="shared" ca="1" si="13"/>
        <v>67.959818181818179</v>
      </c>
      <c r="T13" s="37">
        <f t="shared" ca="1" si="14"/>
        <v>29.209090909090907</v>
      </c>
      <c r="U13" s="37">
        <f t="shared" ca="1" si="15"/>
        <v>280.52509090909092</v>
      </c>
      <c r="V13" s="37">
        <f t="shared" ca="1" si="16"/>
        <v>693.11127272727276</v>
      </c>
      <c r="W13" s="37">
        <f t="shared" ca="1" si="17"/>
        <v>17.233363636363638</v>
      </c>
      <c r="X13" s="37">
        <f t="shared" ca="1" si="18"/>
        <v>1.9472727272727273</v>
      </c>
      <c r="Y13" s="37">
        <f t="shared" ca="1" si="19"/>
        <v>691.16399999999999</v>
      </c>
    </row>
    <row r="14" spans="1:25" x14ac:dyDescent="0.25">
      <c r="A14" s="23" t="s">
        <v>154</v>
      </c>
      <c r="B14" s="39">
        <v>5</v>
      </c>
      <c r="C14" s="38">
        <f t="shared" si="1"/>
        <v>46112</v>
      </c>
      <c r="D14" s="1" t="s">
        <v>159</v>
      </c>
      <c r="E14" s="23">
        <f>VLOOKUP(D14,Darbuotojai!B10:D24,3,FALSE)</f>
        <v>1199</v>
      </c>
      <c r="F14" s="37">
        <f>VLOOKUP(D14,Darbuotojai!B10:E24,4,FALSE)</f>
        <v>6.8125</v>
      </c>
      <c r="G14" s="23">
        <f t="shared" si="2"/>
        <v>21</v>
      </c>
      <c r="H14" s="23">
        <f t="shared" ca="1" si="3"/>
        <v>21</v>
      </c>
      <c r="I14" s="23">
        <f t="shared" ca="1" si="4"/>
        <v>168</v>
      </c>
      <c r="J14" s="37">
        <f t="shared" ca="1" si="5"/>
        <v>1199</v>
      </c>
      <c r="K14" s="37">
        <f t="shared" ca="1" si="6"/>
        <v>50</v>
      </c>
      <c r="L14" s="37">
        <f t="shared" ca="1" si="7"/>
        <v>0</v>
      </c>
      <c r="M14" s="37">
        <v>0</v>
      </c>
      <c r="N14" s="37">
        <f t="shared" ca="1" si="8"/>
        <v>0</v>
      </c>
      <c r="O14" s="37">
        <f t="shared" ca="1" si="9"/>
        <v>1249</v>
      </c>
      <c r="P14" s="37">
        <f t="shared" ca="1" si="10"/>
        <v>325.06</v>
      </c>
      <c r="Q14" s="37">
        <f t="shared" ca="1" si="11"/>
        <v>184.78800000000001</v>
      </c>
      <c r="R14" s="37">
        <f t="shared" ca="1" si="12"/>
        <v>87.180199999999999</v>
      </c>
      <c r="S14" s="37">
        <f t="shared" ca="1" si="13"/>
        <v>87.180199999999999</v>
      </c>
      <c r="T14" s="37">
        <f t="shared" ca="1" si="14"/>
        <v>37.47</v>
      </c>
      <c r="U14" s="37">
        <f t="shared" ca="1" si="15"/>
        <v>396.61840000000007</v>
      </c>
      <c r="V14" s="37">
        <f t="shared" ca="1" si="16"/>
        <v>852.38159999999993</v>
      </c>
      <c r="W14" s="37">
        <f t="shared" ca="1" si="17"/>
        <v>22.107300000000002</v>
      </c>
      <c r="X14" s="37">
        <f t="shared" ca="1" si="18"/>
        <v>2.4980000000000002</v>
      </c>
      <c r="Y14" s="37">
        <f t="shared" ca="1" si="19"/>
        <v>849.88359999999989</v>
      </c>
    </row>
    <row r="15" spans="1:25" x14ac:dyDescent="0.25">
      <c r="A15" s="23" t="s">
        <v>154</v>
      </c>
      <c r="B15" s="39">
        <v>6</v>
      </c>
      <c r="C15" s="38">
        <f t="shared" si="1"/>
        <v>46112</v>
      </c>
      <c r="D15" s="1" t="s">
        <v>160</v>
      </c>
      <c r="E15" s="23">
        <f>VLOOKUP(D15,Darbuotojai!B11:D25,3,FALSE)</f>
        <v>2800</v>
      </c>
      <c r="F15" s="37">
        <f>VLOOKUP(D15,Darbuotojai!B11:E25,4,FALSE)</f>
        <v>15.909090909090908</v>
      </c>
      <c r="G15" s="23">
        <f t="shared" si="2"/>
        <v>21</v>
      </c>
      <c r="H15" s="23">
        <f t="shared" ca="1" si="3"/>
        <v>16</v>
      </c>
      <c r="I15" s="23">
        <f t="shared" ca="1" si="4"/>
        <v>128</v>
      </c>
      <c r="J15" s="37">
        <f t="shared" ca="1" si="5"/>
        <v>2133.3333333333335</v>
      </c>
      <c r="K15" s="37">
        <f t="shared" ca="1" si="6"/>
        <v>0</v>
      </c>
      <c r="L15" s="37">
        <f t="shared" ca="1" si="7"/>
        <v>636.36363636363637</v>
      </c>
      <c r="M15" s="37">
        <v>0</v>
      </c>
      <c r="N15" s="37">
        <f t="shared" ca="1" si="8"/>
        <v>0</v>
      </c>
      <c r="O15" s="37">
        <f t="shared" ca="1" si="9"/>
        <v>2769.69696969697</v>
      </c>
      <c r="P15" s="37">
        <f t="shared" ca="1" si="10"/>
        <v>17.014545454545441</v>
      </c>
      <c r="Q15" s="37">
        <f t="shared" ca="1" si="11"/>
        <v>550.53648484848497</v>
      </c>
      <c r="R15" s="37">
        <f t="shared" ca="1" si="12"/>
        <v>193.3248484848485</v>
      </c>
      <c r="S15" s="37">
        <f t="shared" ca="1" si="13"/>
        <v>193.3248484848485</v>
      </c>
      <c r="T15" s="37">
        <f t="shared" ca="1" si="14"/>
        <v>83.090909090909093</v>
      </c>
      <c r="U15" s="37">
        <f t="shared" ca="1" si="15"/>
        <v>1020.2770909090912</v>
      </c>
      <c r="V15" s="37">
        <f t="shared" ca="1" si="16"/>
        <v>1749.4198787878788</v>
      </c>
      <c r="W15" s="37">
        <f t="shared" ca="1" si="17"/>
        <v>49.023636363636371</v>
      </c>
      <c r="X15" s="37">
        <f t="shared" ca="1" si="18"/>
        <v>5.53939393939394</v>
      </c>
      <c r="Y15" s="37">
        <f t="shared" ca="1" si="19"/>
        <v>1743.8804848484849</v>
      </c>
    </row>
    <row r="16" spans="1:25" x14ac:dyDescent="0.25">
      <c r="A16" s="23" t="s">
        <v>154</v>
      </c>
      <c r="B16" s="39">
        <v>7</v>
      </c>
      <c r="C16" s="38">
        <f t="shared" si="1"/>
        <v>46112</v>
      </c>
      <c r="D16" s="1" t="s">
        <v>161</v>
      </c>
      <c r="E16" s="23">
        <f>VLOOKUP(D16,Darbuotojai!B12:D26,3,FALSE)</f>
        <v>1199</v>
      </c>
      <c r="F16" s="37">
        <f>VLOOKUP(D16,Darbuotojai!B12:E26,4,FALSE)</f>
        <v>6.8125</v>
      </c>
      <c r="G16" s="23">
        <f t="shared" si="2"/>
        <v>21</v>
      </c>
      <c r="H16" s="23">
        <f t="shared" ca="1" si="3"/>
        <v>19</v>
      </c>
      <c r="I16" s="23">
        <f t="shared" ca="1" si="4"/>
        <v>152</v>
      </c>
      <c r="J16" s="37">
        <f t="shared" ca="1" si="5"/>
        <v>1084.8095238095239</v>
      </c>
      <c r="K16" s="37">
        <f t="shared" ca="1" si="6"/>
        <v>0</v>
      </c>
      <c r="L16" s="37">
        <f t="shared" ca="1" si="7"/>
        <v>0</v>
      </c>
      <c r="M16" s="37">
        <v>0</v>
      </c>
      <c r="N16" s="37">
        <f t="shared" ca="1" si="8"/>
        <v>109</v>
      </c>
      <c r="O16" s="37">
        <f t="shared" ca="1" si="9"/>
        <v>1193.8095238095239</v>
      </c>
      <c r="P16" s="37">
        <f t="shared" ca="1" si="10"/>
        <v>339.40952380952376</v>
      </c>
      <c r="Q16" s="37">
        <f t="shared" ca="1" si="11"/>
        <v>170.88000000000002</v>
      </c>
      <c r="R16" s="37">
        <f t="shared" ca="1" si="12"/>
        <v>83.327904761904762</v>
      </c>
      <c r="S16" s="37">
        <f t="shared" ca="1" si="13"/>
        <v>83.327904761904762</v>
      </c>
      <c r="T16" s="37">
        <f t="shared" ca="1" si="14"/>
        <v>35.814285714285717</v>
      </c>
      <c r="U16" s="37">
        <f t="shared" ca="1" si="15"/>
        <v>373.35009523809526</v>
      </c>
      <c r="V16" s="37">
        <f t="shared" ca="1" si="16"/>
        <v>820.45942857142859</v>
      </c>
      <c r="W16" s="37">
        <f t="shared" ca="1" si="17"/>
        <v>21.130428571428574</v>
      </c>
      <c r="X16" s="37">
        <f t="shared" ca="1" si="18"/>
        <v>2.3876190476190478</v>
      </c>
      <c r="Y16" s="37">
        <f t="shared" ca="1" si="19"/>
        <v>818.07180952380952</v>
      </c>
    </row>
    <row r="17" spans="1:25" x14ac:dyDescent="0.25">
      <c r="A17" s="23" t="s">
        <v>154</v>
      </c>
      <c r="B17" s="39">
        <v>8</v>
      </c>
      <c r="C17" s="38">
        <f t="shared" si="1"/>
        <v>46112</v>
      </c>
      <c r="D17" s="1" t="s">
        <v>162</v>
      </c>
      <c r="E17" s="23">
        <f>VLOOKUP(D17,Darbuotojai!B13:D27,3,FALSE)</f>
        <v>980</v>
      </c>
      <c r="F17" s="37">
        <f>VLOOKUP(D17,Darbuotojai!B13:E27,4,FALSE)</f>
        <v>5.5681818181818183</v>
      </c>
      <c r="G17" s="23">
        <f t="shared" si="2"/>
        <v>21</v>
      </c>
      <c r="H17" s="23">
        <f t="shared" ca="1" si="3"/>
        <v>15</v>
      </c>
      <c r="I17" s="23">
        <f t="shared" ca="1" si="4"/>
        <v>120</v>
      </c>
      <c r="J17" s="37">
        <f t="shared" ca="1" si="5"/>
        <v>700</v>
      </c>
      <c r="K17" s="37">
        <f t="shared" ca="1" si="6"/>
        <v>0</v>
      </c>
      <c r="L17" s="37">
        <f t="shared" ca="1" si="7"/>
        <v>267.27272727272725</v>
      </c>
      <c r="M17" s="37">
        <v>0</v>
      </c>
      <c r="N17" s="37">
        <f t="shared" ca="1" si="8"/>
        <v>0</v>
      </c>
      <c r="O17" s="37">
        <f t="shared" ca="1" si="9"/>
        <v>967.27272727272725</v>
      </c>
      <c r="P17" s="37">
        <f t="shared" ca="1" si="10"/>
        <v>398.30909090909091</v>
      </c>
      <c r="Q17" s="37">
        <f t="shared" ca="1" si="11"/>
        <v>113.79272727272729</v>
      </c>
      <c r="R17" s="37">
        <f t="shared" ca="1" si="12"/>
        <v>67.515636363636361</v>
      </c>
      <c r="S17" s="37">
        <f t="shared" ca="1" si="13"/>
        <v>67.515636363636361</v>
      </c>
      <c r="T17" s="37">
        <f t="shared" ca="1" si="14"/>
        <v>29.018181818181816</v>
      </c>
      <c r="U17" s="37">
        <f t="shared" ca="1" si="15"/>
        <v>277.84218181818181</v>
      </c>
      <c r="V17" s="37">
        <f t="shared" ca="1" si="16"/>
        <v>689.43054545454538</v>
      </c>
      <c r="W17" s="37">
        <f t="shared" ca="1" si="17"/>
        <v>17.120727272727272</v>
      </c>
      <c r="X17" s="37">
        <f t="shared" ca="1" si="18"/>
        <v>1.9345454545454546</v>
      </c>
      <c r="Y17" s="37">
        <f t="shared" ca="1" si="19"/>
        <v>687.49599999999998</v>
      </c>
    </row>
    <row r="18" spans="1:25" x14ac:dyDescent="0.25">
      <c r="A18" s="23" t="s">
        <v>154</v>
      </c>
      <c r="B18" s="39">
        <v>9</v>
      </c>
      <c r="C18" s="38">
        <f t="shared" si="1"/>
        <v>46112</v>
      </c>
      <c r="D18" s="1" t="s">
        <v>163</v>
      </c>
      <c r="E18" s="23">
        <f>VLOOKUP(D18,Darbuotojai!B14:D28,3,FALSE)</f>
        <v>1600</v>
      </c>
      <c r="F18" s="37">
        <f>VLOOKUP(D18,Darbuotojai!B14:E28,4,FALSE)</f>
        <v>9.0909090909090917</v>
      </c>
      <c r="G18" s="23">
        <f t="shared" si="2"/>
        <v>21</v>
      </c>
      <c r="H18" s="23">
        <f t="shared" ca="1" si="3"/>
        <v>18</v>
      </c>
      <c r="I18" s="23">
        <f t="shared" ca="1" si="4"/>
        <v>144</v>
      </c>
      <c r="J18" s="37">
        <f t="shared" ca="1" si="5"/>
        <v>1371.4285714285713</v>
      </c>
      <c r="K18" s="37">
        <f t="shared" ca="1" si="6"/>
        <v>0</v>
      </c>
      <c r="L18" s="37">
        <f t="shared" ca="1" si="7"/>
        <v>0</v>
      </c>
      <c r="M18" s="37">
        <v>0</v>
      </c>
      <c r="N18" s="37">
        <f t="shared" ca="1" si="8"/>
        <v>218.18181818181819</v>
      </c>
      <c r="O18" s="37">
        <f t="shared" ca="1" si="9"/>
        <v>1589.6103896103896</v>
      </c>
      <c r="P18" s="37">
        <f t="shared" ca="1" si="10"/>
        <v>236.50129870129871</v>
      </c>
      <c r="Q18" s="37">
        <f t="shared" ca="1" si="11"/>
        <v>270.62181818181818</v>
      </c>
      <c r="R18" s="37">
        <f t="shared" ca="1" si="12"/>
        <v>110.95480519480519</v>
      </c>
      <c r="S18" s="37">
        <f t="shared" ca="1" si="13"/>
        <v>110.95480519480519</v>
      </c>
      <c r="T18" s="37">
        <f t="shared" ca="1" si="14"/>
        <v>47.688311688311686</v>
      </c>
      <c r="U18" s="37">
        <f t="shared" ca="1" si="15"/>
        <v>540.21974025974032</v>
      </c>
      <c r="V18" s="37">
        <f t="shared" ca="1" si="16"/>
        <v>1049.3906493506493</v>
      </c>
      <c r="W18" s="37">
        <f t="shared" ca="1" si="17"/>
        <v>28.136103896103897</v>
      </c>
      <c r="X18" s="37">
        <f t="shared" ca="1" si="18"/>
        <v>3.1792207792207794</v>
      </c>
      <c r="Y18" s="37">
        <f t="shared" ca="1" si="19"/>
        <v>1046.2114285714285</v>
      </c>
    </row>
    <row r="19" spans="1:25" x14ac:dyDescent="0.25">
      <c r="A19" s="23" t="s">
        <v>154</v>
      </c>
      <c r="B19" s="39">
        <v>10</v>
      </c>
      <c r="C19" s="38">
        <f t="shared" si="1"/>
        <v>46112</v>
      </c>
      <c r="D19" s="1" t="s">
        <v>164</v>
      </c>
      <c r="E19" s="23">
        <f>VLOOKUP(D19,Darbuotojai!B15:D29,3,FALSE)</f>
        <v>980</v>
      </c>
      <c r="F19" s="37">
        <f>VLOOKUP(D19,Darbuotojai!B15:E29,4,FALSE)</f>
        <v>5.5681818181818183</v>
      </c>
      <c r="G19" s="23">
        <f t="shared" si="2"/>
        <v>21</v>
      </c>
      <c r="H19" s="23">
        <f t="shared" ca="1" si="3"/>
        <v>18</v>
      </c>
      <c r="I19" s="23">
        <f t="shared" ca="1" si="4"/>
        <v>144</v>
      </c>
      <c r="J19" s="37">
        <f t="shared" ca="1" si="5"/>
        <v>840</v>
      </c>
      <c r="K19" s="37">
        <f t="shared" ca="1" si="6"/>
        <v>0</v>
      </c>
      <c r="L19" s="37">
        <f t="shared" ca="1" si="7"/>
        <v>0</v>
      </c>
      <c r="M19" s="37">
        <v>0</v>
      </c>
      <c r="N19" s="37">
        <f t="shared" ca="1" si="8"/>
        <v>133.63636363636363</v>
      </c>
      <c r="O19" s="37">
        <f t="shared" ca="1" si="9"/>
        <v>973.63636363636363</v>
      </c>
      <c r="P19" s="37">
        <f t="shared" ca="1" si="10"/>
        <v>396.65454545454543</v>
      </c>
      <c r="Q19" s="37">
        <f t="shared" ca="1" si="11"/>
        <v>115.39636363636365</v>
      </c>
      <c r="R19" s="37">
        <f t="shared" ca="1" si="12"/>
        <v>67.959818181818179</v>
      </c>
      <c r="S19" s="37">
        <f t="shared" ca="1" si="13"/>
        <v>67.959818181818179</v>
      </c>
      <c r="T19" s="37">
        <f t="shared" ca="1" si="14"/>
        <v>29.209090909090907</v>
      </c>
      <c r="U19" s="37">
        <f t="shared" ca="1" si="15"/>
        <v>280.52509090909092</v>
      </c>
      <c r="V19" s="37">
        <f t="shared" ca="1" si="16"/>
        <v>693.11127272727276</v>
      </c>
      <c r="W19" s="37">
        <f t="shared" ca="1" si="17"/>
        <v>17.233363636363638</v>
      </c>
      <c r="X19" s="37">
        <f t="shared" ca="1" si="18"/>
        <v>1.9472727272727273</v>
      </c>
      <c r="Y19" s="37">
        <f t="shared" ca="1" si="19"/>
        <v>691.16399999999999</v>
      </c>
    </row>
    <row r="20" spans="1:25" x14ac:dyDescent="0.25">
      <c r="A20" s="23" t="s">
        <v>154</v>
      </c>
      <c r="B20" s="39">
        <v>11</v>
      </c>
      <c r="C20" s="38">
        <f t="shared" si="1"/>
        <v>46112</v>
      </c>
      <c r="D20" s="1" t="s">
        <v>165</v>
      </c>
      <c r="E20" s="23">
        <f>VLOOKUP(D20,Darbuotojai!B16:D30,3,FALSE)</f>
        <v>980</v>
      </c>
      <c r="F20" s="37">
        <f>VLOOKUP(D20,Darbuotojai!B16:E30,4,FALSE)</f>
        <v>5.5681818181818183</v>
      </c>
      <c r="G20" s="23">
        <f t="shared" si="2"/>
        <v>21</v>
      </c>
      <c r="H20" s="23">
        <f t="shared" ca="1" si="3"/>
        <v>15</v>
      </c>
      <c r="I20" s="23">
        <f t="shared" ca="1" si="4"/>
        <v>120</v>
      </c>
      <c r="J20" s="37">
        <f t="shared" ca="1" si="5"/>
        <v>700</v>
      </c>
      <c r="K20" s="37">
        <f t="shared" ca="1" si="6"/>
        <v>0</v>
      </c>
      <c r="L20" s="37">
        <f t="shared" ca="1" si="7"/>
        <v>267.27272727272725</v>
      </c>
      <c r="M20" s="37">
        <v>0</v>
      </c>
      <c r="N20" s="37">
        <f t="shared" ca="1" si="8"/>
        <v>0</v>
      </c>
      <c r="O20" s="37">
        <f t="shared" ca="1" si="9"/>
        <v>967.27272727272725</v>
      </c>
      <c r="P20" s="37">
        <f t="shared" ca="1" si="10"/>
        <v>398.30909090909091</v>
      </c>
      <c r="Q20" s="37">
        <f t="shared" ca="1" si="11"/>
        <v>113.79272727272729</v>
      </c>
      <c r="R20" s="37">
        <f t="shared" ca="1" si="12"/>
        <v>67.515636363636361</v>
      </c>
      <c r="S20" s="37">
        <f t="shared" ca="1" si="13"/>
        <v>67.515636363636361</v>
      </c>
      <c r="T20" s="37">
        <f t="shared" ca="1" si="14"/>
        <v>29.018181818181816</v>
      </c>
      <c r="U20" s="37">
        <f t="shared" ca="1" si="15"/>
        <v>277.84218181818181</v>
      </c>
      <c r="V20" s="37">
        <f t="shared" ca="1" si="16"/>
        <v>689.43054545454538</v>
      </c>
      <c r="W20" s="37">
        <f t="shared" ca="1" si="17"/>
        <v>17.120727272727272</v>
      </c>
      <c r="X20" s="37">
        <f t="shared" ca="1" si="18"/>
        <v>1.9345454545454546</v>
      </c>
      <c r="Y20" s="37">
        <f t="shared" ca="1" si="19"/>
        <v>687.49599999999998</v>
      </c>
    </row>
    <row r="21" spans="1:25" x14ac:dyDescent="0.25">
      <c r="A21" s="23" t="s">
        <v>154</v>
      </c>
      <c r="B21" s="39">
        <v>12</v>
      </c>
      <c r="C21" s="38">
        <f t="shared" si="1"/>
        <v>46112</v>
      </c>
      <c r="D21" s="1" t="s">
        <v>166</v>
      </c>
      <c r="E21" s="23">
        <f>VLOOKUP(D21,Darbuotojai!B17:D31,3,FALSE)</f>
        <v>980</v>
      </c>
      <c r="F21" s="37">
        <f>VLOOKUP(D21,Darbuotojai!B17:E31,4,FALSE)</f>
        <v>5.5681818181818183</v>
      </c>
      <c r="G21" s="23">
        <f t="shared" si="2"/>
        <v>21</v>
      </c>
      <c r="H21" s="23">
        <f t="shared" ca="1" si="3"/>
        <v>21</v>
      </c>
      <c r="I21" s="23">
        <f t="shared" ca="1" si="4"/>
        <v>168</v>
      </c>
      <c r="J21" s="37">
        <f t="shared" ca="1" si="5"/>
        <v>980</v>
      </c>
      <c r="K21" s="37">
        <f t="shared" ca="1" si="6"/>
        <v>50</v>
      </c>
      <c r="L21" s="37">
        <f t="shared" ca="1" si="7"/>
        <v>0</v>
      </c>
      <c r="M21" s="37">
        <v>0</v>
      </c>
      <c r="N21" s="37">
        <f t="shared" ca="1" si="8"/>
        <v>0</v>
      </c>
      <c r="O21" s="37">
        <f t="shared" ca="1" si="9"/>
        <v>1030</v>
      </c>
      <c r="P21" s="37">
        <f t="shared" ca="1" si="10"/>
        <v>382</v>
      </c>
      <c r="Q21" s="37">
        <f t="shared" ca="1" si="11"/>
        <v>129.6</v>
      </c>
      <c r="R21" s="37">
        <f t="shared" ca="1" si="12"/>
        <v>71.894000000000005</v>
      </c>
      <c r="S21" s="37">
        <f t="shared" ca="1" si="13"/>
        <v>71.894000000000005</v>
      </c>
      <c r="T21" s="37">
        <f t="shared" ca="1" si="14"/>
        <v>30.9</v>
      </c>
      <c r="U21" s="37">
        <f t="shared" ca="1" si="15"/>
        <v>304.28800000000001</v>
      </c>
      <c r="V21" s="37">
        <f t="shared" ca="1" si="16"/>
        <v>725.71199999999999</v>
      </c>
      <c r="W21" s="37">
        <f t="shared" ca="1" si="17"/>
        <v>18.231000000000002</v>
      </c>
      <c r="X21" s="37">
        <f t="shared" ca="1" si="18"/>
        <v>2.06</v>
      </c>
      <c r="Y21" s="37">
        <f t="shared" ca="1" si="19"/>
        <v>723.65200000000004</v>
      </c>
    </row>
    <row r="22" spans="1:25" x14ac:dyDescent="0.25">
      <c r="A22" s="23" t="s">
        <v>154</v>
      </c>
      <c r="B22" s="39">
        <v>13</v>
      </c>
      <c r="C22" s="38">
        <f t="shared" si="1"/>
        <v>46112</v>
      </c>
      <c r="D22" s="1" t="s">
        <v>167</v>
      </c>
      <c r="E22" s="23">
        <f>VLOOKUP(D22,Darbuotojai!B18:D32,3,FALSE)</f>
        <v>1505</v>
      </c>
      <c r="F22" s="37">
        <f>VLOOKUP(D22,Darbuotojai!B18:E32,4,FALSE)</f>
        <v>8.5511363636363633</v>
      </c>
      <c r="G22" s="23">
        <f t="shared" si="2"/>
        <v>21</v>
      </c>
      <c r="H22" s="23">
        <f t="shared" ca="1" si="3"/>
        <v>19</v>
      </c>
      <c r="I22" s="23">
        <f t="shared" ca="1" si="4"/>
        <v>152</v>
      </c>
      <c r="J22" s="37">
        <f t="shared" ca="1" si="5"/>
        <v>1361.6666666666667</v>
      </c>
      <c r="K22" s="37">
        <f t="shared" ca="1" si="6"/>
        <v>0</v>
      </c>
      <c r="L22" s="37">
        <f t="shared" ca="1" si="7"/>
        <v>0</v>
      </c>
      <c r="M22" s="37">
        <v>0</v>
      </c>
      <c r="N22" s="37">
        <f t="shared" ca="1" si="8"/>
        <v>136.81818181818181</v>
      </c>
      <c r="O22" s="37">
        <f t="shared" ca="1" si="9"/>
        <v>1498.4848484848485</v>
      </c>
      <c r="P22" s="37">
        <f t="shared" ca="1" si="10"/>
        <v>260.19393939393939</v>
      </c>
      <c r="Q22" s="37">
        <f t="shared" ca="1" si="11"/>
        <v>247.65818181818182</v>
      </c>
      <c r="R22" s="37">
        <f t="shared" ca="1" si="12"/>
        <v>104.59424242424242</v>
      </c>
      <c r="S22" s="37">
        <f t="shared" ca="1" si="13"/>
        <v>104.59424242424242</v>
      </c>
      <c r="T22" s="37">
        <f t="shared" ca="1" si="14"/>
        <v>44.954545454545453</v>
      </c>
      <c r="U22" s="37">
        <f t="shared" ca="1" si="15"/>
        <v>501.80121212121213</v>
      </c>
      <c r="V22" s="37">
        <f t="shared" ca="1" si="16"/>
        <v>996.68363636363642</v>
      </c>
      <c r="W22" s="37">
        <f t="shared" ca="1" si="17"/>
        <v>26.523181818181818</v>
      </c>
      <c r="X22" s="37">
        <f t="shared" ca="1" si="18"/>
        <v>2.9969696969696971</v>
      </c>
      <c r="Y22" s="37">
        <f t="shared" ca="1" si="19"/>
        <v>993.68666666666672</v>
      </c>
    </row>
    <row r="23" spans="1:25" x14ac:dyDescent="0.25">
      <c r="A23" s="23" t="s">
        <v>154</v>
      </c>
      <c r="B23" s="39">
        <v>14</v>
      </c>
      <c r="C23" s="38">
        <f t="shared" si="1"/>
        <v>46112</v>
      </c>
      <c r="D23" s="1" t="s">
        <v>168</v>
      </c>
      <c r="E23" s="23">
        <f>VLOOKUP(D23,Darbuotojai!B19:D33,3,FALSE)</f>
        <v>980</v>
      </c>
      <c r="F23" s="37">
        <f>VLOOKUP(D23,Darbuotojai!B19:E33,4,FALSE)</f>
        <v>5.5681818181818183</v>
      </c>
      <c r="G23" s="23">
        <f t="shared" si="2"/>
        <v>21</v>
      </c>
      <c r="H23" s="23">
        <f t="shared" ca="1" si="3"/>
        <v>15</v>
      </c>
      <c r="I23" s="23">
        <f t="shared" ca="1" si="4"/>
        <v>120</v>
      </c>
      <c r="J23" s="37">
        <f t="shared" ca="1" si="5"/>
        <v>700</v>
      </c>
      <c r="K23" s="37">
        <f t="shared" ca="1" si="6"/>
        <v>0</v>
      </c>
      <c r="L23" s="37">
        <f t="shared" ca="1" si="7"/>
        <v>267.27272727272725</v>
      </c>
      <c r="M23" s="37">
        <v>0</v>
      </c>
      <c r="N23" s="37">
        <f t="shared" ca="1" si="8"/>
        <v>0</v>
      </c>
      <c r="O23" s="37">
        <f t="shared" ca="1" si="9"/>
        <v>967.27272727272725</v>
      </c>
      <c r="P23" s="37">
        <f t="shared" ca="1" si="10"/>
        <v>398.30909090909091</v>
      </c>
      <c r="Q23" s="37">
        <f t="shared" ca="1" si="11"/>
        <v>113.79272727272729</v>
      </c>
      <c r="R23" s="37">
        <f t="shared" ca="1" si="12"/>
        <v>67.515636363636361</v>
      </c>
      <c r="S23" s="37">
        <f t="shared" ca="1" si="13"/>
        <v>67.515636363636361</v>
      </c>
      <c r="T23" s="37">
        <f t="shared" ca="1" si="14"/>
        <v>29.018181818181816</v>
      </c>
      <c r="U23" s="37">
        <f t="shared" ca="1" si="15"/>
        <v>277.84218181818181</v>
      </c>
      <c r="V23" s="37">
        <f t="shared" ca="1" si="16"/>
        <v>689.43054545454538</v>
      </c>
      <c r="W23" s="37">
        <f t="shared" ca="1" si="17"/>
        <v>17.120727272727272</v>
      </c>
      <c r="X23" s="37">
        <f t="shared" ca="1" si="18"/>
        <v>1.9345454545454546</v>
      </c>
      <c r="Y23" s="37">
        <f t="shared" ca="1" si="19"/>
        <v>687.49599999999998</v>
      </c>
    </row>
    <row r="24" spans="1:25" x14ac:dyDescent="0.25">
      <c r="A24" s="23" t="s">
        <v>154</v>
      </c>
      <c r="B24" s="39">
        <v>15</v>
      </c>
      <c r="C24" s="38">
        <f t="shared" si="1"/>
        <v>46112</v>
      </c>
      <c r="D24" s="1" t="s">
        <v>169</v>
      </c>
      <c r="E24" s="23">
        <f>VLOOKUP(D24,Darbuotojai!B20:D34,3,FALSE)</f>
        <v>1090</v>
      </c>
      <c r="F24" s="37">
        <f>VLOOKUP(D24,Darbuotojai!B20:E34,4,FALSE)</f>
        <v>6.1931818181818183</v>
      </c>
      <c r="G24" s="23">
        <f t="shared" si="2"/>
        <v>21</v>
      </c>
      <c r="H24" s="23">
        <f t="shared" ca="1" si="3"/>
        <v>15</v>
      </c>
      <c r="I24" s="23">
        <f t="shared" ca="1" si="4"/>
        <v>120</v>
      </c>
      <c r="J24" s="37">
        <f t="shared" ca="1" si="5"/>
        <v>778.57142857142856</v>
      </c>
      <c r="K24" s="37">
        <f t="shared" ca="1" si="6"/>
        <v>0</v>
      </c>
      <c r="L24" s="37">
        <f t="shared" ca="1" si="7"/>
        <v>297.27272727272725</v>
      </c>
      <c r="M24" s="37">
        <v>0</v>
      </c>
      <c r="N24" s="37">
        <f t="shared" ca="1" si="8"/>
        <v>0</v>
      </c>
      <c r="O24" s="37">
        <f t="shared" ca="1" si="9"/>
        <v>1075.8441558441559</v>
      </c>
      <c r="P24" s="37">
        <f t="shared" ca="1" si="10"/>
        <v>370.08051948051946</v>
      </c>
      <c r="Q24" s="37">
        <f t="shared" ca="1" si="11"/>
        <v>141.1527272727273</v>
      </c>
      <c r="R24" s="37">
        <f t="shared" ca="1" si="12"/>
        <v>75.093922077922088</v>
      </c>
      <c r="S24" s="37">
        <f t="shared" ca="1" si="13"/>
        <v>75.093922077922088</v>
      </c>
      <c r="T24" s="37">
        <f t="shared" ca="1" si="14"/>
        <v>32.275324675324676</v>
      </c>
      <c r="U24" s="37">
        <f t="shared" ca="1" si="15"/>
        <v>323.61589610389615</v>
      </c>
      <c r="V24" s="37">
        <f t="shared" ca="1" si="16"/>
        <v>752.22825974025977</v>
      </c>
      <c r="W24" s="37">
        <f t="shared" ca="1" si="17"/>
        <v>19.04244155844156</v>
      </c>
      <c r="X24" s="37">
        <f t="shared" ca="1" si="18"/>
        <v>2.1516883116883121</v>
      </c>
      <c r="Y24" s="37">
        <f t="shared" ca="1" si="19"/>
        <v>750.07657142857147</v>
      </c>
    </row>
    <row r="25" spans="1:25" x14ac:dyDescent="0.25">
      <c r="L25" s="19" t="s">
        <v>171</v>
      </c>
    </row>
    <row r="26" spans="1:25" x14ac:dyDescent="0.25">
      <c r="L26" s="19" t="s">
        <v>171</v>
      </c>
    </row>
    <row r="27" spans="1:25" x14ac:dyDescent="0.25">
      <c r="L27" s="19" t="s">
        <v>171</v>
      </c>
    </row>
    <row r="28" spans="1:25" x14ac:dyDescent="0.25">
      <c r="L28" s="19" t="s">
        <v>171</v>
      </c>
    </row>
    <row r="29" spans="1:25" x14ac:dyDescent="0.25">
      <c r="L29" s="19" t="s">
        <v>171</v>
      </c>
    </row>
    <row r="30" spans="1:25" x14ac:dyDescent="0.25">
      <c r="L30" s="19" t="s">
        <v>171</v>
      </c>
    </row>
    <row r="31" spans="1:25" x14ac:dyDescent="0.25">
      <c r="L31" s="19" t="s">
        <v>171</v>
      </c>
    </row>
    <row r="32" spans="1:25" x14ac:dyDescent="0.25">
      <c r="L32" s="19" t="s">
        <v>171</v>
      </c>
    </row>
    <row r="33" spans="12:12" x14ac:dyDescent="0.25">
      <c r="L33" s="19" t="s">
        <v>171</v>
      </c>
    </row>
    <row r="34" spans="12:12" x14ac:dyDescent="0.25">
      <c r="L34" s="19" t="s">
        <v>171</v>
      </c>
    </row>
    <row r="35" spans="12:12" x14ac:dyDescent="0.25">
      <c r="L35" s="19" t="s">
        <v>171</v>
      </c>
    </row>
    <row r="36" spans="12:12" x14ac:dyDescent="0.25">
      <c r="L36" s="19" t="s">
        <v>171</v>
      </c>
    </row>
    <row r="37" spans="12:12" x14ac:dyDescent="0.25">
      <c r="L37" s="19" t="s">
        <v>171</v>
      </c>
    </row>
    <row r="38" spans="12:12" x14ac:dyDescent="0.25">
      <c r="L38" s="19" t="s">
        <v>171</v>
      </c>
    </row>
    <row r="39" spans="12:12" x14ac:dyDescent="0.25">
      <c r="L39" s="19" t="s">
        <v>171</v>
      </c>
    </row>
    <row r="40" spans="12:12" x14ac:dyDescent="0.25">
      <c r="L40" s="19" t="s">
        <v>171</v>
      </c>
    </row>
    <row r="41" spans="12:12" x14ac:dyDescent="0.25">
      <c r="L41" s="19" t="s">
        <v>171</v>
      </c>
    </row>
    <row r="42" spans="12:12" x14ac:dyDescent="0.25">
      <c r="L42" s="19" t="s">
        <v>171</v>
      </c>
    </row>
    <row r="43" spans="12:12" x14ac:dyDescent="0.25">
      <c r="L43" s="19" t="s">
        <v>171</v>
      </c>
    </row>
    <row r="44" spans="12:12" x14ac:dyDescent="0.25">
      <c r="L44" s="19" t="s">
        <v>171</v>
      </c>
    </row>
    <row r="45" spans="12:12" x14ac:dyDescent="0.25">
      <c r="L45" s="19" t="s">
        <v>171</v>
      </c>
    </row>
    <row r="46" spans="12:12" x14ac:dyDescent="0.25">
      <c r="L46" s="19" t="s">
        <v>171</v>
      </c>
    </row>
    <row r="47" spans="12:12" x14ac:dyDescent="0.25">
      <c r="L47" s="19" t="s">
        <v>171</v>
      </c>
    </row>
    <row r="48" spans="12:12" x14ac:dyDescent="0.25">
      <c r="L48" s="19" t="s">
        <v>171</v>
      </c>
    </row>
    <row r="49" spans="12:12" x14ac:dyDescent="0.25">
      <c r="L49" s="19" t="s">
        <v>171</v>
      </c>
    </row>
    <row r="50" spans="12:12" x14ac:dyDescent="0.25">
      <c r="L50" s="19" t="s">
        <v>171</v>
      </c>
    </row>
    <row r="51" spans="12:12" x14ac:dyDescent="0.25">
      <c r="L51" s="19" t="s">
        <v>171</v>
      </c>
    </row>
    <row r="52" spans="12:12" x14ac:dyDescent="0.25">
      <c r="L52" s="19" t="s">
        <v>171</v>
      </c>
    </row>
    <row r="53" spans="12:12" x14ac:dyDescent="0.25">
      <c r="L53" s="19" t="s">
        <v>171</v>
      </c>
    </row>
    <row r="54" spans="12:12" x14ac:dyDescent="0.25">
      <c r="L54" s="19" t="s">
        <v>171</v>
      </c>
    </row>
    <row r="55" spans="12:12" x14ac:dyDescent="0.25">
      <c r="L55" s="19" t="s">
        <v>171</v>
      </c>
    </row>
    <row r="56" spans="12:12" x14ac:dyDescent="0.25">
      <c r="L56" s="19" t="s">
        <v>171</v>
      </c>
    </row>
    <row r="57" spans="12:12" x14ac:dyDescent="0.25">
      <c r="L57" s="19" t="s">
        <v>171</v>
      </c>
    </row>
    <row r="58" spans="12:12" x14ac:dyDescent="0.25">
      <c r="L58" s="19" t="s">
        <v>171</v>
      </c>
    </row>
    <row r="59" spans="12:12" x14ac:dyDescent="0.25">
      <c r="L59" s="19" t="s">
        <v>171</v>
      </c>
    </row>
    <row r="60" spans="12:12" x14ac:dyDescent="0.25">
      <c r="L60" s="19" t="s">
        <v>171</v>
      </c>
    </row>
    <row r="61" spans="12:12" x14ac:dyDescent="0.25">
      <c r="L61" s="19" t="s">
        <v>171</v>
      </c>
    </row>
    <row r="62" spans="12:12" x14ac:dyDescent="0.25">
      <c r="L62" s="19" t="s">
        <v>171</v>
      </c>
    </row>
    <row r="63" spans="12:12" x14ac:dyDescent="0.25">
      <c r="L63" s="19" t="s">
        <v>171</v>
      </c>
    </row>
    <row r="64" spans="12:12" x14ac:dyDescent="0.25">
      <c r="L64" s="19" t="s">
        <v>171</v>
      </c>
    </row>
    <row r="65" spans="12:12" x14ac:dyDescent="0.25">
      <c r="L65" s="19" t="s">
        <v>171</v>
      </c>
    </row>
    <row r="66" spans="12:12" x14ac:dyDescent="0.25">
      <c r="L66" s="19" t="s">
        <v>171</v>
      </c>
    </row>
    <row r="67" spans="12:12" x14ac:dyDescent="0.25">
      <c r="L67" s="19" t="s">
        <v>171</v>
      </c>
    </row>
    <row r="68" spans="12:12" x14ac:dyDescent="0.25">
      <c r="L68" s="19" t="s">
        <v>171</v>
      </c>
    </row>
    <row r="69" spans="12:12" x14ac:dyDescent="0.25">
      <c r="L69" s="19" t="s">
        <v>171</v>
      </c>
    </row>
    <row r="70" spans="12:12" x14ac:dyDescent="0.25">
      <c r="L70" s="19" t="s">
        <v>171</v>
      </c>
    </row>
    <row r="71" spans="12:12" x14ac:dyDescent="0.25">
      <c r="L71" s="19" t="s">
        <v>171</v>
      </c>
    </row>
    <row r="72" spans="12:12" x14ac:dyDescent="0.25">
      <c r="L72" s="19" t="s">
        <v>171</v>
      </c>
    </row>
    <row r="73" spans="12:12" x14ac:dyDescent="0.25">
      <c r="L73" s="19" t="s">
        <v>171</v>
      </c>
    </row>
    <row r="74" spans="12:12" x14ac:dyDescent="0.25">
      <c r="L74" s="19" t="s">
        <v>171</v>
      </c>
    </row>
    <row r="75" spans="12:12" x14ac:dyDescent="0.25">
      <c r="L75" s="19" t="s">
        <v>171</v>
      </c>
    </row>
    <row r="76" spans="12:12" x14ac:dyDescent="0.25">
      <c r="L76" s="19" t="s">
        <v>171</v>
      </c>
    </row>
    <row r="77" spans="12:12" x14ac:dyDescent="0.25">
      <c r="L77" s="19" t="s">
        <v>171</v>
      </c>
    </row>
    <row r="78" spans="12:12" x14ac:dyDescent="0.25">
      <c r="L78" s="19" t="s">
        <v>171</v>
      </c>
    </row>
    <row r="79" spans="12:12" x14ac:dyDescent="0.25">
      <c r="L79" s="19" t="s">
        <v>171</v>
      </c>
    </row>
    <row r="80" spans="12:12" x14ac:dyDescent="0.25">
      <c r="L80" s="19" t="s">
        <v>171</v>
      </c>
    </row>
    <row r="81" spans="12:12" x14ac:dyDescent="0.25">
      <c r="L81" s="19" t="s">
        <v>171</v>
      </c>
    </row>
    <row r="82" spans="12:12" x14ac:dyDescent="0.25">
      <c r="L82" s="19" t="s">
        <v>171</v>
      </c>
    </row>
    <row r="83" spans="12:12" x14ac:dyDescent="0.25">
      <c r="L83" s="19" t="s">
        <v>171</v>
      </c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phoneticPr fontId="13" type="noConversion"/>
  <conditionalFormatting sqref="V10:V24">
    <cfRule type="top10" dxfId="0" priority="1" bottom="1" rank="5"/>
    <cfRule type="top10" priority="2" bottom="1" rank="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tabSelected="1" workbookViewId="0">
      <selection activeCell="C4" sqref="C4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1"/>
    </row>
    <row r="4" spans="1:3" ht="30" x14ac:dyDescent="0.25">
      <c r="A4" s="1">
        <v>2</v>
      </c>
      <c r="B4" s="29" t="s">
        <v>120</v>
      </c>
      <c r="C4" s="34"/>
    </row>
    <row r="5" spans="1:3" x14ac:dyDescent="0.25">
      <c r="A5" s="1">
        <v>3</v>
      </c>
      <c r="B5" s="1" t="s">
        <v>107</v>
      </c>
      <c r="C5" s="34"/>
    </row>
    <row r="6" spans="1:3" ht="30" x14ac:dyDescent="0.25">
      <c r="A6" s="1">
        <v>4</v>
      </c>
      <c r="B6" s="29" t="s">
        <v>119</v>
      </c>
      <c r="C6" s="34"/>
    </row>
    <row r="7" spans="1:3" x14ac:dyDescent="0.25">
      <c r="A7" s="1">
        <v>5</v>
      </c>
      <c r="B7" s="1" t="s">
        <v>108</v>
      </c>
      <c r="C7" s="34"/>
    </row>
    <row r="8" spans="1:3" x14ac:dyDescent="0.25">
      <c r="A8" s="1">
        <v>6</v>
      </c>
      <c r="B8" s="1" t="s">
        <v>110</v>
      </c>
      <c r="C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Mokinys_4</cp:lastModifiedBy>
  <dcterms:created xsi:type="dcterms:W3CDTF">2018-12-13T14:39:32Z</dcterms:created>
  <dcterms:modified xsi:type="dcterms:W3CDTF">2026-05-08T06:25:24Z</dcterms:modified>
</cp:coreProperties>
</file>