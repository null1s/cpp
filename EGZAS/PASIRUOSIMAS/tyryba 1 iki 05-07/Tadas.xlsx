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550BBBB8-9917-474E-A481-7F9850D41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3" l="1"/>
  <c r="H13" i="3" s="1"/>
  <c r="G11" i="3"/>
  <c r="H11" i="3" s="1"/>
  <c r="G14" i="3"/>
  <c r="H14" i="3" s="1"/>
  <c r="G12" i="3"/>
  <c r="H12" i="3" s="1"/>
  <c r="G18" i="3"/>
  <c r="H18" i="3" s="1"/>
  <c r="G16" i="3"/>
  <c r="H16" i="3" s="1"/>
  <c r="G15" i="3"/>
  <c r="H15" i="3" s="1"/>
  <c r="G19" i="3"/>
  <c r="H19" i="3" s="1"/>
  <c r="N19" i="3" s="1"/>
  <c r="G20" i="3"/>
  <c r="H20" i="3" s="1"/>
  <c r="G21" i="3"/>
  <c r="H21" i="3" s="1"/>
  <c r="N21" i="3" s="1"/>
  <c r="G17" i="3"/>
  <c r="H17" i="3" s="1"/>
  <c r="G22" i="3"/>
  <c r="H22" i="3" s="1"/>
  <c r="N22" i="3" s="1"/>
  <c r="G23" i="3"/>
  <c r="H23" i="3" s="1"/>
  <c r="G24" i="3"/>
  <c r="H24" i="3" s="1"/>
  <c r="G10" i="3"/>
  <c r="H10" i="3" s="1"/>
  <c r="E11" i="3"/>
  <c r="E24" i="3"/>
  <c r="E10" i="3"/>
  <c r="D13" i="3"/>
  <c r="F13" i="3" s="1"/>
  <c r="D11" i="3"/>
  <c r="F11" i="3" s="1"/>
  <c r="D14" i="3"/>
  <c r="F14" i="3" s="1"/>
  <c r="D12" i="3"/>
  <c r="E12" i="3" s="1"/>
  <c r="D18" i="3"/>
  <c r="E18" i="3" s="1"/>
  <c r="D16" i="3"/>
  <c r="E16" i="3" s="1"/>
  <c r="D15" i="3"/>
  <c r="F15" i="3" s="1"/>
  <c r="D19" i="3"/>
  <c r="F19" i="3" s="1"/>
  <c r="D20" i="3"/>
  <c r="F20" i="3" s="1"/>
  <c r="D21" i="3"/>
  <c r="F21" i="3" s="1"/>
  <c r="D17" i="3"/>
  <c r="F17" i="3" s="1"/>
  <c r="D22" i="3"/>
  <c r="F22" i="3" s="1"/>
  <c r="D23" i="3"/>
  <c r="F23" i="3" s="1"/>
  <c r="D24" i="3"/>
  <c r="F24" i="3" s="1"/>
  <c r="D10" i="3"/>
  <c r="F10" i="3" s="1"/>
  <c r="C13" i="3"/>
  <c r="C11" i="3"/>
  <c r="C14" i="3"/>
  <c r="C12" i="3"/>
  <c r="C18" i="3"/>
  <c r="C16" i="3"/>
  <c r="C15" i="3"/>
  <c r="C19" i="3"/>
  <c r="C20" i="3"/>
  <c r="C21" i="3"/>
  <c r="C17" i="3"/>
  <c r="C22" i="3"/>
  <c r="C23" i="3"/>
  <c r="C24" i="3"/>
  <c r="C10" i="3"/>
  <c r="B13" i="3"/>
  <c r="B11" i="3"/>
  <c r="B14" i="3"/>
  <c r="B12" i="3"/>
  <c r="B18" i="3"/>
  <c r="B16" i="3"/>
  <c r="B15" i="3"/>
  <c r="B19" i="3"/>
  <c r="B20" i="3"/>
  <c r="B21" i="3"/>
  <c r="B17" i="3"/>
  <c r="B22" i="3"/>
  <c r="B23" i="3"/>
  <c r="B24" i="3"/>
  <c r="B10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3" i="3" s="1"/>
  <c r="F8" i="2"/>
  <c r="X11" i="3" s="1"/>
  <c r="F9" i="2"/>
  <c r="X14" i="3" s="1"/>
  <c r="F10" i="2"/>
  <c r="X12" i="3" s="1"/>
  <c r="F11" i="2"/>
  <c r="X18" i="3" s="1"/>
  <c r="F12" i="2"/>
  <c r="X16" i="3" s="1"/>
  <c r="F13" i="2"/>
  <c r="X15" i="3" s="1"/>
  <c r="F14" i="2"/>
  <c r="X19" i="3" s="1"/>
  <c r="F15" i="2"/>
  <c r="X20" i="3" s="1"/>
  <c r="F16" i="2"/>
  <c r="X21" i="3" s="1"/>
  <c r="F17" i="2"/>
  <c r="X17" i="3" s="1"/>
  <c r="F18" i="2"/>
  <c r="X22" i="3" s="1"/>
  <c r="F19" i="2"/>
  <c r="X23" i="3" s="1"/>
  <c r="F20" i="2"/>
  <c r="X24" i="3" s="1"/>
  <c r="F6" i="2"/>
  <c r="X10" i="3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  <c r="M7" i="3"/>
  <c r="E23" i="3" l="1"/>
  <c r="E14" i="3"/>
  <c r="F18" i="3"/>
  <c r="F16" i="3"/>
  <c r="N16" i="3" s="1"/>
  <c r="E13" i="3"/>
  <c r="F12" i="3"/>
  <c r="L12" i="3" s="1"/>
  <c r="E22" i="3"/>
  <c r="N20" i="3"/>
  <c r="E17" i="3"/>
  <c r="N17" i="3"/>
  <c r="E21" i="3"/>
  <c r="J21" i="3" s="1"/>
  <c r="N15" i="3"/>
  <c r="E20" i="3"/>
  <c r="J20" i="3" s="1"/>
  <c r="E19" i="3"/>
  <c r="J19" i="3" s="1"/>
  <c r="N18" i="3"/>
  <c r="E15" i="3"/>
  <c r="J15" i="3" s="1"/>
  <c r="N12" i="3"/>
  <c r="N14" i="3"/>
  <c r="N24" i="3"/>
  <c r="N11" i="3"/>
  <c r="N23" i="3"/>
  <c r="N13" i="3"/>
  <c r="N10" i="3"/>
  <c r="I22" i="3"/>
  <c r="I21" i="3"/>
  <c r="I20" i="3"/>
  <c r="I19" i="3"/>
  <c r="I15" i="3"/>
  <c r="I16" i="3"/>
  <c r="I17" i="3"/>
  <c r="I18" i="3"/>
  <c r="I12" i="3"/>
  <c r="I14" i="3"/>
  <c r="I11" i="3"/>
  <c r="I24" i="3"/>
  <c r="I23" i="3"/>
  <c r="I13" i="3"/>
  <c r="I10" i="3"/>
  <c r="L22" i="3"/>
  <c r="L17" i="3"/>
  <c r="L14" i="3"/>
  <c r="L21" i="3"/>
  <c r="L20" i="3"/>
  <c r="L19" i="3"/>
  <c r="L15" i="3"/>
  <c r="L16" i="3"/>
  <c r="L18" i="3"/>
  <c r="L24" i="3"/>
  <c r="L11" i="3"/>
  <c r="L23" i="3"/>
  <c r="L13" i="3"/>
  <c r="K22" i="3"/>
  <c r="K17" i="3"/>
  <c r="K12" i="3"/>
  <c r="K14" i="3"/>
  <c r="L10" i="3"/>
  <c r="K21" i="3"/>
  <c r="K20" i="3"/>
  <c r="K19" i="3"/>
  <c r="K15" i="3"/>
  <c r="K16" i="3"/>
  <c r="K18" i="3"/>
  <c r="K24" i="3"/>
  <c r="K11" i="3"/>
  <c r="K23" i="3"/>
  <c r="K13" i="3"/>
  <c r="J22" i="3"/>
  <c r="J17" i="3"/>
  <c r="J12" i="3"/>
  <c r="K10" i="3"/>
  <c r="J16" i="3"/>
  <c r="J18" i="3"/>
  <c r="J14" i="3"/>
  <c r="J24" i="3"/>
  <c r="J11" i="3"/>
  <c r="J23" i="3"/>
  <c r="J13" i="3"/>
  <c r="J10" i="3"/>
  <c r="X7" i="3"/>
  <c r="O14" i="3" l="1"/>
  <c r="S2" i="3"/>
  <c r="L2" i="3"/>
  <c r="S1" i="3"/>
  <c r="R14" i="3"/>
  <c r="S14" i="3"/>
  <c r="P14" i="3"/>
  <c r="Q14" i="3" s="1"/>
  <c r="O20" i="3"/>
  <c r="O21" i="3"/>
  <c r="O11" i="3"/>
  <c r="O24" i="3"/>
  <c r="W24" i="3" s="1"/>
  <c r="O18" i="3"/>
  <c r="O17" i="3"/>
  <c r="O16" i="3"/>
  <c r="W16" i="3" s="1"/>
  <c r="O15" i="3"/>
  <c r="W15" i="3" s="1"/>
  <c r="O13" i="3"/>
  <c r="T14" i="3" s="1"/>
  <c r="O23" i="3"/>
  <c r="W23" i="3" s="1"/>
  <c r="O22" i="3"/>
  <c r="W22" i="3" s="1"/>
  <c r="O12" i="3"/>
  <c r="W12" i="3" s="1"/>
  <c r="O10" i="3"/>
  <c r="W10" i="3" s="1"/>
  <c r="O19" i="3"/>
  <c r="L7" i="3"/>
  <c r="K7" i="3"/>
  <c r="N7" i="3"/>
  <c r="W11" i="3" l="1"/>
  <c r="W19" i="3"/>
  <c r="W20" i="3"/>
  <c r="W21" i="3"/>
  <c r="W17" i="3"/>
  <c r="W13" i="3"/>
  <c r="W18" i="3"/>
  <c r="W14" i="3"/>
  <c r="T24" i="3"/>
  <c r="T19" i="3"/>
  <c r="T11" i="3"/>
  <c r="T21" i="3"/>
  <c r="T20" i="3"/>
  <c r="T12" i="3"/>
  <c r="T22" i="3"/>
  <c r="T13" i="3"/>
  <c r="T16" i="3"/>
  <c r="T17" i="3"/>
  <c r="T18" i="3"/>
  <c r="T23" i="3"/>
  <c r="T15" i="3"/>
  <c r="U14" i="3"/>
  <c r="V14" i="3" s="1"/>
  <c r="Y14" i="3" s="1"/>
  <c r="T10" i="3"/>
  <c r="R16" i="3"/>
  <c r="S16" i="3"/>
  <c r="R18" i="3"/>
  <c r="S18" i="3"/>
  <c r="R13" i="3"/>
  <c r="S13" i="3"/>
  <c r="R15" i="3"/>
  <c r="S15" i="3"/>
  <c r="R11" i="3"/>
  <c r="S11" i="3"/>
  <c r="R19" i="3"/>
  <c r="S19" i="3"/>
  <c r="R20" i="3"/>
  <c r="S20" i="3"/>
  <c r="R12" i="3"/>
  <c r="S12" i="3"/>
  <c r="R17" i="3"/>
  <c r="S17" i="3"/>
  <c r="R24" i="3"/>
  <c r="S24" i="3"/>
  <c r="R21" i="3"/>
  <c r="S21" i="3"/>
  <c r="R22" i="3"/>
  <c r="S22" i="3"/>
  <c r="R23" i="3"/>
  <c r="S23" i="3"/>
  <c r="R10" i="3"/>
  <c r="S10" i="3"/>
  <c r="P23" i="3"/>
  <c r="Q23" i="3" s="1"/>
  <c r="P18" i="3"/>
  <c r="Q18" i="3" s="1"/>
  <c r="P13" i="3"/>
  <c r="Q13" i="3" s="1"/>
  <c r="P16" i="3"/>
  <c r="Q16" i="3" s="1"/>
  <c r="P15" i="3"/>
  <c r="Q15" i="3" s="1"/>
  <c r="P17" i="3"/>
  <c r="Q17" i="3" s="1"/>
  <c r="P24" i="3"/>
  <c r="Q24" i="3" s="1"/>
  <c r="P11" i="3"/>
  <c r="Q11" i="3" s="1"/>
  <c r="P19" i="3"/>
  <c r="Q19" i="3" s="1"/>
  <c r="P21" i="3"/>
  <c r="Q21" i="3" s="1"/>
  <c r="P20" i="3"/>
  <c r="Q20" i="3" s="1"/>
  <c r="P12" i="3"/>
  <c r="Q12" i="3" s="1"/>
  <c r="P22" i="3"/>
  <c r="Q22" i="3" s="1"/>
  <c r="P10" i="3"/>
  <c r="J7" i="3"/>
  <c r="Q10" i="3" l="1"/>
  <c r="U16" i="3"/>
  <c r="V16" i="3" s="1"/>
  <c r="Y16" i="3" s="1"/>
  <c r="U17" i="3"/>
  <c r="V17" i="3" s="1"/>
  <c r="Y17" i="3" s="1"/>
  <c r="U15" i="3"/>
  <c r="V15" i="3" s="1"/>
  <c r="Y15" i="3" s="1"/>
  <c r="U23" i="3"/>
  <c r="V23" i="3" s="1"/>
  <c r="Y23" i="3" s="1"/>
  <c r="U12" i="3"/>
  <c r="V12" i="3" s="1"/>
  <c r="Y12" i="3" s="1"/>
  <c r="U22" i="3"/>
  <c r="V22" i="3" s="1"/>
  <c r="Y22" i="3" s="1"/>
  <c r="U13" i="3"/>
  <c r="V13" i="3" s="1"/>
  <c r="U20" i="3"/>
  <c r="V20" i="3" s="1"/>
  <c r="Y20" i="3" s="1"/>
  <c r="U18" i="3"/>
  <c r="V18" i="3" s="1"/>
  <c r="Y18" i="3" s="1"/>
  <c r="U24" i="3"/>
  <c r="V24" i="3" s="1"/>
  <c r="Y24" i="3" s="1"/>
  <c r="U19" i="3"/>
  <c r="V19" i="3" s="1"/>
  <c r="Y19" i="3" s="1"/>
  <c r="U11" i="3"/>
  <c r="V11" i="3" s="1"/>
  <c r="Y11" i="3" s="1"/>
  <c r="U21" i="3"/>
  <c r="V21" i="3" s="1"/>
  <c r="Y21" i="3" s="1"/>
  <c r="U10" i="3"/>
  <c r="Y10" i="3" s="1"/>
  <c r="T7" i="3"/>
  <c r="R7" i="3"/>
  <c r="O7" i="3"/>
  <c r="S7" i="3"/>
  <c r="W7" i="3"/>
  <c r="Y13" i="3" l="1"/>
  <c r="P7" i="3"/>
  <c r="Q7" i="3"/>
  <c r="U7" i="3" l="1"/>
  <c r="Y7" i="3"/>
  <c r="V7" i="3"/>
</calcChain>
</file>

<file path=xl/sharedStrings.xml><?xml version="1.0" encoding="utf-8"?>
<sst xmlns="http://schemas.openxmlformats.org/spreadsheetml/2006/main" count="254" uniqueCount="172">
  <si>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</si>
  <si>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</si>
  <si>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</si>
  <si>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</si>
  <si>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</si>
  <si>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</si>
  <si>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</si>
  <si>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</si>
  <si>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</si>
  <si>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</si>
  <si>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</si>
  <si>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</si>
  <si>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</si>
  <si>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</si>
  <si>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</si>
  <si>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</si>
  <si>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</si>
  <si>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</si>
  <si>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</si>
  <si>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</si>
  <si>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</si>
  <si>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</si>
  <si>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</si>
  <si>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</si>
  <si>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</si>
  <si>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</si>
  <si>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</si>
  <si>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</si>
  <si>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</si>
  <si>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</si>
  <si>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</si>
  <si>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</si>
  <si>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</si>
  <si>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</si>
  <si>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</si>
  <si>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</si>
  <si>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</si>
  <si>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</si>
  <si>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</si>
  <si>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</si>
  <si>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</si>
  <si>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</si>
  <si>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</si>
  <si>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</si>
  <si>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</si>
  <si>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</si>
  <si>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</si>
  <si>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</si>
  <si>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</si>
  <si>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</si>
  <si>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</si>
  <si>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</si>
  <si>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</si>
  <si>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</si>
  <si>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</si>
  <si>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</si>
  <si>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</si>
  <si>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</si>
  <si>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</si>
  <si>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</si>
  <si>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</si>
  <si>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</si>
  <si>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</si>
  <si>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</si>
  <si>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</si>
  <si>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</si>
  <si>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</si>
  <si>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</si>
  <si>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</si>
  <si>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</si>
  <si>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</si>
  <si>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</si>
  <si>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</si>
  <si>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</si>
  <si>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</si>
  <si>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</si>
  <si>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</si>
  <si>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</si>
  <si>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</si>
  <si>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</si>
  <si>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</si>
  <si>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</si>
  <si>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</si>
  <si>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</si>
  <si>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</si>
  <si>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</si>
  <si>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</si>
  <si>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</si>
  <si>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</si>
  <si>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</si>
  <si>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</si>
  <si>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</si>
  <si>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</si>
  <si>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</si>
  <si>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</si>
  <si>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</si>
  <si>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</si>
  <si>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</si>
  <si>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</si>
  <si>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</si>
  <si>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</si>
  <si>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</si>
  <si>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</si>
  <si>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</si>
  <si>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</si>
  <si>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</si>
  <si>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</si>
  <si>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</si>
  <si>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</si>
  <si>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</si>
  <si>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</si>
  <si>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</si>
  <si>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</si>
  <si>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</si>
  <si>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</si>
  <si>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</si>
  <si>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</si>
  <si>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</si>
  <si>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</si>
  <si>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</si>
  <si>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</si>
  <si>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</si>
  <si>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</si>
  <si>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</si>
  <si>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</si>
  <si>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</si>
  <si>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</si>
  <si>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</si>
  <si>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</si>
  <si>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</si>
  <si>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</si>
  <si>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</si>
  <si>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</si>
  <si>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</si>
  <si>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</si>
  <si>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</si>
  <si>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</si>
  <si>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</si>
  <si>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</si>
  <si>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</si>
  <si>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</si>
  <si>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</si>
  <si>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</si>
  <si>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</si>
  <si>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</si>
  <si>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</si>
  <si>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</si>
  <si>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</si>
  <si>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</si>
  <si>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</si>
  <si>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</si>
  <si>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</si>
  <si>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</si>
  <si>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</si>
  <si>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 1</t>
  </si>
  <si>
    <t>Darbuotojas 2</t>
  </si>
  <si>
    <t>Darbuotojas 3</t>
  </si>
  <si>
    <t>Darbuotojas 4</t>
  </si>
  <si>
    <t>Darbuotojas 5</t>
  </si>
  <si>
    <t>Darbuotojas 6</t>
  </si>
  <si>
    <t>Darbuotojas 7</t>
  </si>
  <si>
    <t>Darbuotojas 8</t>
  </si>
  <si>
    <t>Darbuotojas 9</t>
  </si>
  <si>
    <t>Darbuotojas 10</t>
  </si>
  <si>
    <t>Darbuotojas 11</t>
  </si>
  <si>
    <t>Darbuotojas 12</t>
  </si>
  <si>
    <t>Darbuotojas 13</t>
  </si>
  <si>
    <t>Darbuotojas 14</t>
  </si>
  <si>
    <t>Darbuotojas 15</t>
  </si>
  <si>
    <t>Gamybos Darbuotojas</t>
  </si>
  <si>
    <t xml:space="preserve"> </t>
  </si>
  <si>
    <t>Kovas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</si>
</sst>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%"/>
    <numFmt numFmtId="165" formatCode="yyyy\/mmm\/dd"/>
    <numFmt numFmtId="166" formatCode="#,##0.00\ &quot;€&quot;"/>
  </numFmts>
  <fonts count="15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166" fontId="0" fillId="0" borderId="1" xfId="0" applyNumberFormat="1" applyBorder="1"/>
    <xf numFmtId="166" fontId="8" fillId="0" borderId="1" xfId="0" applyNumberFormat="1" applyFont="1" applyBorder="1"/>
    <xf numFmtId="166" fontId="9" fillId="0" borderId="1" xfId="2" applyNumberFormat="1" applyFont="1" applyBorder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8" fillId="0" borderId="3" xfId="0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32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70FD4-EDC0-4D89-A2C3-E4C4CA203189}" name="Lentelė1" displayName="Lentelė1" ref="A9:Y24" totalsRowShown="0" headerRowDxfId="31" dataDxfId="29" headerRowBorderDxfId="30" tableBorderDxfId="28" totalsRowBorderDxfId="27">
  <autoFilter ref="A9:Y24" xr:uid="{C3170FD4-EDC0-4D89-A2C3-E4C4CA203189}"/>
  <sortState xmlns:xlrd2="http://schemas.microsoft.com/office/spreadsheetml/2017/richdata2" ref="A10:Y24">
    <sortCondition descending="1" ref="E9:E24"/>
  </sortState>
  <tableColumns count="25">
    <tableColumn id="1" xr3:uid="{7F2A2787-9472-47FA-84AA-A74C6EC2052B}" name="Registras" dataDxfId="26"/>
    <tableColumn id="2" xr3:uid="{7CE5E9C0-991D-40EB-B13C-D1B791D7EFE7}" name="Op. Nr." dataDxfId="25">
      <calculatedColumnFormula>"03"</calculatedColumnFormula>
    </tableColumn>
    <tableColumn id="3" xr3:uid="{2F1D8188-74F2-443E-81EB-387BA0534ADA}" name="Skaičiavimo data" dataDxfId="24">
      <calculatedColumnFormula>EOMONTH(DATE(2026,3,1),0)</calculatedColumnFormula>
    </tableColumn>
    <tableColumn id="4" xr3:uid="{2D23CCBF-3D97-45E5-9625-B936A3B1ED42}" name="Pavardė, vardas" dataDxfId="23">
      <calculatedColumnFormula>Darbuotojai!B6</calculatedColumnFormula>
    </tableColumn>
    <tableColumn id="5" xr3:uid="{EC439B21-F0F4-4C8B-94A6-0922AFDB71CF}" name="Pareiginis atlyginimas, €" dataDxfId="22">
      <calculatedColumnFormula>VLOOKUP(D10,Darbuotojai!$B$6:$D$20,3,FALSE)</calculatedColumnFormula>
    </tableColumn>
    <tableColumn id="6" xr3:uid="{FC514AD3-B065-45AA-BE21-7400FD68BCC1}" name="Valandinis tarifinis atlygis, €" dataDxfId="21">
      <calculatedColumnFormula>VLOOKUP(D10,Darbuotojai!$B$6:$E$20,4,FALSE)</calculatedColumnFormula>
    </tableColumn>
    <tableColumn id="7" xr3:uid="{07079B96-127B-4066-A871-B054CDB1E7D8}" name="Nustatytas darbo dienų skaičius " dataDxfId="20">
      <calculatedColumnFormula>NETWORKDAYS(DATE(2026,3,1),DATE(2026,3,31),DATE(2026,3,11))</calculatedColumnFormula>
    </tableColumn>
    <tableColumn id="8" xr3:uid="{D88DAB80-E03A-4038-B7A0-7AC452A486EA}" name="Faktiškai dirbta, d." dataDxfId="19">
      <calculatedColumnFormula>RANDBETWEEN(15,G10)</calculatedColumnFormula>
    </tableColumn>
    <tableColumn id="9" xr3:uid="{0D5AFE95-3AF8-460B-AE7F-321BEF4FA230}" name="Faktiškai dirbta, val." dataDxfId="18">
      <calculatedColumnFormula>H10*8</calculatedColumnFormula>
    </tableColumn>
    <tableColumn id="10" xr3:uid="{3FA018AE-1F48-4B9B-B98F-A86A3A95BDA6}" name="Atlyginimas, €" dataDxfId="17">
      <calculatedColumnFormula>E10*H10/G10</calculatedColumnFormula>
    </tableColumn>
    <tableColumn id="11" xr3:uid="{88F5401C-A471-4784-BAE6-725D9767B16B}" name="Mėnesinė priemoka, €" dataDxfId="16">
      <calculatedColumnFormula>IF(H10=G10,50,0)</calculatedColumnFormula>
    </tableColumn>
    <tableColumn id="12" xr3:uid="{247578A0-CBDA-4D9B-B9DB-E3A529BE4C10}" name="Eilinės atostogos,  €" dataDxfId="15">
      <calculatedColumnFormula>IF(G10-H10&gt;4,F10*8*(G10-H10),0)</calculatedColumnFormula>
    </tableColumn>
    <tableColumn id="13" xr3:uid="{0EFA8109-856D-4F11-A5EF-0D77D3F36E6C}" name="Kompensacija už nepanaudotas atostogas,  €" dataDxfId="14"/>
    <tableColumn id="14" xr3:uid="{CF224D3E-9EB1-4972-8B65-7C343620FF2C}" name="Nedarbingumo pašalpa darbdavio lėšomis,  €" dataDxfId="13">
      <calculatedColumnFormula>IF(G10-H10&lt;=4,F10*8*RANDBETWEEN(1,2),0)</calculatedColumnFormula>
    </tableColumn>
    <tableColumn id="15" xr3:uid="{760FBC1D-F92A-4013-8D5F-0DC1408DD3F2}" name="Priskaičiuota iš viso,  €" dataDxfId="12">
      <calculatedColumnFormula>N10+M10+L10+K10+J10</calculatedColumnFormula>
    </tableColumn>
    <tableColumn id="16" xr3:uid="{17767D25-9E43-41A1-A0E3-57731412737A}" name="pritaikytas NPD, €" dataDxfId="11">
      <calculatedColumnFormula>IF(IF(O10&lt;=730,460,IF(O10&lt;1678,460-0.26*O10,IF(O10&gt;1678,460-0.18*O10)))&gt;0,IF(O10&lt;=730,460,IF(O10&lt;1678,460-0.26*O10,IF(O10&gt;1678,460-0.18*O10))),0)</calculatedColumnFormula>
    </tableColumn>
    <tableColumn id="17" xr3:uid="{BBD3DA39-6CB2-4E35-B412-D68A54F637C3}" name="GPM, €" dataDxfId="10">
      <calculatedColumnFormula>(O10-P10)*20%</calculatedColumnFormula>
    </tableColumn>
    <tableColumn id="18" xr3:uid="{77E2F382-4AA4-4AA1-B217-DDD00BBB3E99}" name="VSD įmoka, €" dataDxfId="9">
      <calculatedColumnFormula>O10*14.29%</calculatedColumnFormula>
    </tableColumn>
    <tableColumn id="19" xr3:uid="{9C1A07C4-452F-4E74-904C-F99D8B975E53}" name="PSD įmoka,  €" dataDxfId="8">
      <calculatedColumnFormula>O10*6.98%</calculatedColumnFormula>
    </tableColumn>
    <tableColumn id="20" xr3:uid="{A1F44E06-5233-4E32-8DF7-CD4943B07FE7}" name="Papildomas pensijinis kaupimas " dataDxfId="7">
      <calculatedColumnFormula>'Darbo užmokestis'!O10*0.03</calculatedColumnFormula>
    </tableColumn>
    <tableColumn id="21" xr3:uid="{6E4BB93D-0F03-4519-9EBC-5B0BD6A443EF}" name="Išskaičiuota iš viso, €" dataDxfId="6">
      <calculatedColumnFormula>T10+S10+R10+Q10+P10</calculatedColumnFormula>
    </tableColumn>
    <tableColumn id="22" xr3:uid="{98805FC7-BDE2-44CE-A572-BC528018F728}" name="Išmokėtina suma, €" dataDxfId="5">
      <calculatedColumnFormula>O10-U10</calculatedColumnFormula>
    </tableColumn>
    <tableColumn id="23" xr3:uid="{7C3B041B-AEAE-45BD-8139-C35B6565CEF8}" name="Darbdavio VSD įmokos, €" dataDxfId="4">
      <calculatedColumnFormula>1.77%*'Darbo užmokestis'!O10</calculatedColumnFormula>
    </tableColumn>
    <tableColumn id="24" xr3:uid="{AB8A4032-7DD1-4A57-831A-66D65D3D9BBD}" name="Avansas, €" dataDxfId="3">
      <calculatedColumnFormula>VLOOKUP(D10,Darbuotojai!B6:F20,5,FALSE)</calculatedColumnFormula>
    </tableColumn>
    <tableColumn id="25" xr3:uid="{7613F83F-7A69-4A49-9353-234D5AFFC88E}" name="Išmokėtina suma po avanso, €" dataDxfId="2">
      <calculatedColumnFormula>V10-X10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3" workbookViewId="0">
      <selection activeCell="C62" sqref="C62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121</v>
      </c>
    </row>
    <row r="21" spans="1:4" x14ac:dyDescent="0.25">
      <c r="A21">
        <v>4</v>
      </c>
      <c r="B21" s="8" t="s">
        <v>16</v>
      </c>
      <c r="C21" t="s">
        <v>125</v>
      </c>
      <c r="D21" t="s">
        <v>122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137</v>
      </c>
      <c r="D34" s="18"/>
      <c r="H34" s="29" t="s">
        <v>126</v>
      </c>
    </row>
    <row r="35" spans="1:18" ht="15.75" x14ac:dyDescent="0.25">
      <c r="A35">
        <v>18</v>
      </c>
      <c r="B35" s="8" t="s">
        <v>114</v>
      </c>
      <c r="C35" t="s">
        <v>170</v>
      </c>
      <c r="D35" t="s">
        <v>92</v>
      </c>
      <c r="G35" s="30" t="s">
        <v>127</v>
      </c>
      <c r="H35" t="s">
        <v>128</v>
      </c>
      <c r="M35" s="31"/>
    </row>
    <row r="36" spans="1:18" ht="17.25" customHeight="1" x14ac:dyDescent="0.25">
      <c r="A36">
        <v>19</v>
      </c>
      <c r="B36" s="8" t="s">
        <v>95</v>
      </c>
      <c r="C36" t="s">
        <v>123</v>
      </c>
      <c r="G36" s="30" t="s">
        <v>129</v>
      </c>
      <c r="H36" t="s">
        <v>130</v>
      </c>
      <c r="R36" t="s">
        <v>131</v>
      </c>
    </row>
    <row r="37" spans="1:18" x14ac:dyDescent="0.25">
      <c r="A37">
        <v>20</v>
      </c>
      <c r="B37" s="8" t="s">
        <v>47</v>
      </c>
      <c r="C37" t="s">
        <v>117</v>
      </c>
      <c r="G37" s="30" t="s">
        <v>132</v>
      </c>
      <c r="H37" t="s">
        <v>133</v>
      </c>
      <c r="R37" t="s">
        <v>134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135</v>
      </c>
      <c r="H38" t="s">
        <v>136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116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120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55" t="s">
        <v>80</v>
      </c>
      <c r="C47" s="55"/>
    </row>
    <row r="48" spans="1:18" ht="15" customHeight="1" x14ac:dyDescent="0.25">
      <c r="A48">
        <v>29</v>
      </c>
      <c r="B48" s="56" t="s">
        <v>124</v>
      </c>
      <c r="C48" s="56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36" sqref="C36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G34" sqref="G34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154</v>
      </c>
      <c r="C6" s="1" t="s">
        <v>3</v>
      </c>
      <c r="D6" s="34">
        <f>VLOOKUP(Darbuotojai!C6,Pareigybės!$B$4:$C$9,2,FALSE)</f>
        <v>2800</v>
      </c>
      <c r="E6" s="34">
        <f>(D6/22)/8</f>
        <v>15.909090909090908</v>
      </c>
      <c r="F6" s="33">
        <f ca="1">CHOOSE(RANDBETWEEN(1,2),150,200)</f>
        <v>150</v>
      </c>
      <c r="G6" s="10" t="s">
        <v>49</v>
      </c>
      <c r="H6" s="1" t="str">
        <f ca="1">CONCATENATE("+370 6",RANDBETWEEN(1000000,9999999))</f>
        <v>+370 63961161</v>
      </c>
      <c r="I6" s="1" t="s">
        <v>138</v>
      </c>
    </row>
    <row r="7" spans="1:13" x14ac:dyDescent="0.25">
      <c r="A7" s="1">
        <v>2</v>
      </c>
      <c r="B7" s="1" t="s">
        <v>155</v>
      </c>
      <c r="C7" s="1" t="s">
        <v>2</v>
      </c>
      <c r="D7" s="34">
        <f>VLOOKUP(Darbuotojai!C7,Pareigybės!$B$4:$C$9,2,FALSE)</f>
        <v>1505</v>
      </c>
      <c r="E7" s="34">
        <f t="shared" ref="E7:E20" si="0">(D7/22)/8</f>
        <v>8.5511363636363633</v>
      </c>
      <c r="F7" s="33">
        <f t="shared" ref="F7:F20" ca="1" si="1">CHOOSE(RANDBETWEEN(1,2),150,200)</f>
        <v>150</v>
      </c>
      <c r="G7" s="10" t="s">
        <v>49</v>
      </c>
      <c r="H7" s="1" t="str">
        <f t="shared" ref="H7:H20" ca="1" si="2">CONCATENATE("+370 6",RANDBETWEEN(1000000,9999999))</f>
        <v>+370 64401661</v>
      </c>
      <c r="I7" s="1" t="s">
        <v>139</v>
      </c>
    </row>
    <row r="8" spans="1:13" x14ac:dyDescent="0.25">
      <c r="A8" s="1">
        <v>3</v>
      </c>
      <c r="B8" s="1" t="s">
        <v>156</v>
      </c>
      <c r="C8" s="1" t="s">
        <v>40</v>
      </c>
      <c r="D8" s="34">
        <f>VLOOKUP(Darbuotojai!C8,Pareigybės!$B$4:$C$9,2,FALSE)</f>
        <v>1600</v>
      </c>
      <c r="E8" s="34">
        <f t="shared" si="0"/>
        <v>9.0909090909090917</v>
      </c>
      <c r="F8" s="33">
        <f t="shared" ca="1" si="1"/>
        <v>200</v>
      </c>
      <c r="G8" s="10" t="s">
        <v>49</v>
      </c>
      <c r="H8" s="1" t="str">
        <f t="shared" ca="1" si="2"/>
        <v>+370 65226000</v>
      </c>
      <c r="I8" s="1" t="s">
        <v>140</v>
      </c>
    </row>
    <row r="9" spans="1:13" x14ac:dyDescent="0.25">
      <c r="A9" s="1">
        <v>4</v>
      </c>
      <c r="B9" s="1" t="s">
        <v>157</v>
      </c>
      <c r="C9" s="1" t="s">
        <v>1</v>
      </c>
      <c r="D9" s="34">
        <f>VLOOKUP(Darbuotojai!C9,Pareigybės!$B$4:$C$9,2,FALSE)</f>
        <v>1199</v>
      </c>
      <c r="E9" s="34">
        <f t="shared" si="0"/>
        <v>6.8125</v>
      </c>
      <c r="F9" s="33">
        <f t="shared" ca="1" si="1"/>
        <v>150</v>
      </c>
      <c r="G9" s="10" t="s">
        <v>49</v>
      </c>
      <c r="H9" s="1" t="str">
        <f t="shared" ca="1" si="2"/>
        <v>+370 66974733</v>
      </c>
      <c r="I9" s="1" t="s">
        <v>141</v>
      </c>
    </row>
    <row r="10" spans="1:13" x14ac:dyDescent="0.25">
      <c r="A10" s="1">
        <v>5</v>
      </c>
      <c r="B10" s="1" t="s">
        <v>158</v>
      </c>
      <c r="C10" s="1" t="s">
        <v>40</v>
      </c>
      <c r="D10" s="34">
        <f>VLOOKUP(Darbuotojai!C10,Pareigybės!$B$4:$C$9,2,FALSE)</f>
        <v>1600</v>
      </c>
      <c r="E10" s="34">
        <f t="shared" si="0"/>
        <v>9.0909090909090917</v>
      </c>
      <c r="F10" s="33">
        <f t="shared" ca="1" si="1"/>
        <v>200</v>
      </c>
      <c r="G10" s="10" t="s">
        <v>49</v>
      </c>
      <c r="H10" s="1" t="str">
        <f t="shared" ca="1" si="2"/>
        <v>+370 67361425</v>
      </c>
      <c r="I10" s="1" t="s">
        <v>142</v>
      </c>
      <c r="M10" s="32"/>
    </row>
    <row r="11" spans="1:13" x14ac:dyDescent="0.25">
      <c r="A11" s="1">
        <v>6</v>
      </c>
      <c r="B11" s="1" t="s">
        <v>159</v>
      </c>
      <c r="C11" s="1" t="s">
        <v>169</v>
      </c>
      <c r="D11" s="34">
        <f>VLOOKUP(Darbuotojai!C11,Pareigybės!$B$4:$C$9,2,FALSE)</f>
        <v>980</v>
      </c>
      <c r="E11" s="34">
        <f t="shared" si="0"/>
        <v>5.5681818181818183</v>
      </c>
      <c r="F11" s="33">
        <f t="shared" ca="1" si="1"/>
        <v>150</v>
      </c>
      <c r="G11" s="10" t="s">
        <v>49</v>
      </c>
      <c r="H11" s="1" t="str">
        <f t="shared" ca="1" si="2"/>
        <v>+370 69974987</v>
      </c>
      <c r="I11" s="1" t="s">
        <v>143</v>
      </c>
      <c r="M11" s="32"/>
    </row>
    <row r="12" spans="1:13" x14ac:dyDescent="0.25">
      <c r="A12" s="1">
        <v>7</v>
      </c>
      <c r="B12" s="1" t="s">
        <v>160</v>
      </c>
      <c r="C12" s="1" t="s">
        <v>41</v>
      </c>
      <c r="D12" s="34">
        <f>VLOOKUP(Darbuotojai!C12,Pareigybės!$B$4:$C$9,2,FALSE)</f>
        <v>1090</v>
      </c>
      <c r="E12" s="34">
        <f t="shared" si="0"/>
        <v>6.1931818181818183</v>
      </c>
      <c r="F12" s="33">
        <f t="shared" ca="1" si="1"/>
        <v>200</v>
      </c>
      <c r="G12" s="10" t="s">
        <v>49</v>
      </c>
      <c r="H12" s="1" t="str">
        <f t="shared" ca="1" si="2"/>
        <v>+370 67281059</v>
      </c>
      <c r="I12" s="1" t="s">
        <v>144</v>
      </c>
    </row>
    <row r="13" spans="1:13" x14ac:dyDescent="0.25">
      <c r="A13" s="1">
        <v>8</v>
      </c>
      <c r="B13" s="1" t="s">
        <v>161</v>
      </c>
      <c r="C13" s="1" t="s">
        <v>1</v>
      </c>
      <c r="D13" s="34">
        <f>VLOOKUP(Darbuotojai!C13,Pareigybės!$B$4:$C$9,2,FALSE)</f>
        <v>1199</v>
      </c>
      <c r="E13" s="34">
        <f t="shared" si="0"/>
        <v>6.8125</v>
      </c>
      <c r="F13" s="33">
        <f t="shared" ca="1" si="1"/>
        <v>200</v>
      </c>
      <c r="G13" s="10" t="s">
        <v>49</v>
      </c>
      <c r="H13" s="1" t="str">
        <f t="shared" ca="1" si="2"/>
        <v>+370 66904016</v>
      </c>
      <c r="I13" s="1" t="s">
        <v>145</v>
      </c>
    </row>
    <row r="14" spans="1:13" x14ac:dyDescent="0.25">
      <c r="A14" s="1">
        <v>9</v>
      </c>
      <c r="B14" s="1" t="s">
        <v>162</v>
      </c>
      <c r="C14" s="1" t="s">
        <v>169</v>
      </c>
      <c r="D14" s="34">
        <f>VLOOKUP(Darbuotojai!C14,Pareigybės!$B$4:$C$9,2,FALSE)</f>
        <v>980</v>
      </c>
      <c r="E14" s="34">
        <f t="shared" si="0"/>
        <v>5.5681818181818183</v>
      </c>
      <c r="F14" s="33">
        <f t="shared" ca="1" si="1"/>
        <v>200</v>
      </c>
      <c r="G14" s="10" t="s">
        <v>49</v>
      </c>
      <c r="H14" s="1" t="str">
        <f t="shared" ca="1" si="2"/>
        <v>+370 67525764</v>
      </c>
      <c r="I14" s="1" t="s">
        <v>146</v>
      </c>
    </row>
    <row r="15" spans="1:13" x14ac:dyDescent="0.25">
      <c r="A15" s="1">
        <v>10</v>
      </c>
      <c r="B15" s="1" t="s">
        <v>163</v>
      </c>
      <c r="C15" s="1" t="s">
        <v>169</v>
      </c>
      <c r="D15" s="34">
        <f>VLOOKUP(Darbuotojai!C15,Pareigybės!$B$4:$C$9,2,FALSE)</f>
        <v>980</v>
      </c>
      <c r="E15" s="34">
        <f t="shared" si="0"/>
        <v>5.5681818181818183</v>
      </c>
      <c r="F15" s="33">
        <f t="shared" ca="1" si="1"/>
        <v>200</v>
      </c>
      <c r="G15" s="10" t="s">
        <v>49</v>
      </c>
      <c r="H15" s="1" t="str">
        <f t="shared" ca="1" si="2"/>
        <v>+370 62987090</v>
      </c>
      <c r="I15" s="1" t="s">
        <v>147</v>
      </c>
    </row>
    <row r="16" spans="1:13" x14ac:dyDescent="0.25">
      <c r="A16" s="1">
        <v>11</v>
      </c>
      <c r="B16" s="1" t="s">
        <v>164</v>
      </c>
      <c r="C16" s="1" t="s">
        <v>169</v>
      </c>
      <c r="D16" s="34">
        <f>VLOOKUP(Darbuotojai!C16,Pareigybės!$B$4:$C$9,2,FALSE)</f>
        <v>980</v>
      </c>
      <c r="E16" s="34">
        <f t="shared" si="0"/>
        <v>5.5681818181818183</v>
      </c>
      <c r="F16" s="33">
        <f t="shared" ca="1" si="1"/>
        <v>150</v>
      </c>
      <c r="G16" s="10" t="s">
        <v>49</v>
      </c>
      <c r="H16" s="1" t="str">
        <f t="shared" ca="1" si="2"/>
        <v>+370 66158300</v>
      </c>
      <c r="I16" s="1" t="s">
        <v>148</v>
      </c>
    </row>
    <row r="17" spans="1:9" x14ac:dyDescent="0.25">
      <c r="A17" s="1">
        <v>12</v>
      </c>
      <c r="B17" s="1" t="s">
        <v>165</v>
      </c>
      <c r="C17" s="1" t="s">
        <v>41</v>
      </c>
      <c r="D17" s="34">
        <f>VLOOKUP(Darbuotojai!C17,Pareigybės!$B$4:$C$9,2,FALSE)</f>
        <v>1090</v>
      </c>
      <c r="E17" s="34">
        <f t="shared" si="0"/>
        <v>6.1931818181818183</v>
      </c>
      <c r="F17" s="33">
        <f t="shared" ca="1" si="1"/>
        <v>200</v>
      </c>
      <c r="G17" s="10" t="s">
        <v>49</v>
      </c>
      <c r="H17" s="1" t="str">
        <f t="shared" ca="1" si="2"/>
        <v>+370 62713528</v>
      </c>
      <c r="I17" s="1" t="s">
        <v>149</v>
      </c>
    </row>
    <row r="18" spans="1:9" x14ac:dyDescent="0.25">
      <c r="A18" s="1">
        <v>13</v>
      </c>
      <c r="B18" s="1" t="s">
        <v>166</v>
      </c>
      <c r="C18" s="1" t="s">
        <v>169</v>
      </c>
      <c r="D18" s="34">
        <f>VLOOKUP(Darbuotojai!C18,Pareigybės!$B$4:$C$9,2,FALSE)</f>
        <v>980</v>
      </c>
      <c r="E18" s="34">
        <f t="shared" si="0"/>
        <v>5.5681818181818183</v>
      </c>
      <c r="F18" s="33">
        <f t="shared" ca="1" si="1"/>
        <v>200</v>
      </c>
      <c r="G18" s="10" t="s">
        <v>49</v>
      </c>
      <c r="H18" s="1" t="str">
        <f t="shared" ca="1" si="2"/>
        <v>+370 64430566</v>
      </c>
      <c r="I18" s="1" t="s">
        <v>150</v>
      </c>
    </row>
    <row r="19" spans="1:9" x14ac:dyDescent="0.25">
      <c r="A19" s="1">
        <v>14</v>
      </c>
      <c r="B19" s="1" t="s">
        <v>167</v>
      </c>
      <c r="C19" s="1" t="s">
        <v>169</v>
      </c>
      <c r="D19" s="34">
        <f>VLOOKUP(Darbuotojai!C19,Pareigybės!$B$4:$C$9,2,FALSE)</f>
        <v>980</v>
      </c>
      <c r="E19" s="34">
        <f t="shared" si="0"/>
        <v>5.5681818181818183</v>
      </c>
      <c r="F19" s="33">
        <f t="shared" ca="1" si="1"/>
        <v>200</v>
      </c>
      <c r="G19" s="10" t="s">
        <v>49</v>
      </c>
      <c r="H19" s="1" t="str">
        <f t="shared" ca="1" si="2"/>
        <v>+370 63612959</v>
      </c>
      <c r="I19" s="1" t="s">
        <v>151</v>
      </c>
    </row>
    <row r="20" spans="1:9" x14ac:dyDescent="0.25">
      <c r="A20" s="1">
        <v>15</v>
      </c>
      <c r="B20" s="1" t="s">
        <v>168</v>
      </c>
      <c r="C20" s="1" t="s">
        <v>169</v>
      </c>
      <c r="D20" s="34">
        <f>VLOOKUP(Darbuotojai!C20,Pareigybės!$B$4:$C$9,2,FALSE)</f>
        <v>980</v>
      </c>
      <c r="E20" s="34">
        <f t="shared" si="0"/>
        <v>5.5681818181818183</v>
      </c>
      <c r="F20" s="33">
        <f t="shared" ca="1" si="1"/>
        <v>200</v>
      </c>
      <c r="G20" s="10" t="s">
        <v>49</v>
      </c>
      <c r="H20" s="1" t="str">
        <f t="shared" ca="1" si="2"/>
        <v>+370 62767462</v>
      </c>
      <c r="I20" s="1" t="s">
        <v>152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opLeftCell="M1" zoomScale="85" zoomScaleNormal="85" workbookViewId="0">
      <selection activeCell="N31" sqref="N31"/>
    </sheetView>
  </sheetViews>
  <sheetFormatPr defaultColWidth="9.140625" defaultRowHeight="15" x14ac:dyDescent="0.25"/>
  <cols>
    <col min="1" max="1" width="24.28515625" style="19" bestFit="1" customWidth="1"/>
    <col min="2" max="2" width="9.28515625" style="19" customWidth="1"/>
    <col min="3" max="3" width="22.5703125" style="19" customWidth="1"/>
    <col min="4" max="4" width="18.5703125" style="19" customWidth="1"/>
    <col min="5" max="5" width="25.7109375" style="19" customWidth="1"/>
    <col min="6" max="6" width="29.7109375" style="19" customWidth="1"/>
    <col min="7" max="7" width="33.140625" style="19" customWidth="1"/>
    <col min="8" max="8" width="20.28515625" style="19" customWidth="1"/>
    <col min="9" max="9" width="21.85546875" style="19" customWidth="1"/>
    <col min="10" max="10" width="16" style="19" customWidth="1"/>
    <col min="11" max="11" width="23.7109375" style="19" customWidth="1"/>
    <col min="12" max="12" width="21.7109375" style="19" customWidth="1"/>
    <col min="13" max="13" width="44.5703125" style="19" customWidth="1"/>
    <col min="14" max="14" width="45" style="19" customWidth="1"/>
    <col min="15" max="15" width="24" style="19" customWidth="1"/>
    <col min="16" max="16" width="19.140625" style="19" customWidth="1"/>
    <col min="17" max="17" width="10.140625" style="19" customWidth="1"/>
    <col min="18" max="18" width="14.85546875" style="19" customWidth="1"/>
    <col min="19" max="19" width="15.140625" style="19" customWidth="1"/>
    <col min="20" max="20" width="34" style="19" customWidth="1"/>
    <col min="21" max="21" width="22.85546875" style="19" customWidth="1"/>
    <col min="22" max="22" width="21.140625" style="19" customWidth="1"/>
    <col min="23" max="23" width="25.7109375" style="19" customWidth="1"/>
    <col min="24" max="24" width="13.5703125" style="19" bestFit="1" customWidth="1"/>
    <col min="25" max="25" width="31.140625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57" t="s">
        <v>4</v>
      </c>
      <c r="K1" s="57"/>
      <c r="L1" s="22">
        <v>2E-3</v>
      </c>
      <c r="N1" s="59" t="s">
        <v>97</v>
      </c>
      <c r="O1" s="59"/>
      <c r="P1" s="59"/>
      <c r="Q1" s="59"/>
      <c r="R1" s="27">
        <v>1.6000000000000001E-3</v>
      </c>
      <c r="S1" s="36">
        <f ca="1">SUM(J10:J24)*R1</f>
        <v>25.760990476190479</v>
      </c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58" t="s">
        <v>76</v>
      </c>
      <c r="K2" s="58"/>
      <c r="L2" s="35">
        <f ca="1">SUM(J10:J24)*0.2%</f>
        <v>32.201238095238097</v>
      </c>
      <c r="N2" s="59" t="s">
        <v>98</v>
      </c>
      <c r="O2" s="59"/>
      <c r="P2" s="59"/>
      <c r="Q2" s="59"/>
      <c r="R2" s="24">
        <v>1.4E-3</v>
      </c>
      <c r="S2" s="35">
        <f ca="1">SUM(J10:J24)*R2</f>
        <v>22.540866666666666</v>
      </c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171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16100.619047619048</v>
      </c>
      <c r="K7" s="23">
        <f t="shared" ref="K7:X7" ca="1" si="0">SUM(K10:K24)</f>
        <v>150</v>
      </c>
      <c r="L7" s="23">
        <f t="shared" ca="1" si="0"/>
        <v>1667</v>
      </c>
      <c r="M7" s="23">
        <f t="shared" si="0"/>
        <v>0</v>
      </c>
      <c r="N7" s="23">
        <f t="shared" ca="1" si="0"/>
        <v>752.68181818181802</v>
      </c>
      <c r="O7" s="23">
        <f t="shared" ca="1" si="0"/>
        <v>18670.300865800869</v>
      </c>
      <c r="P7" s="23">
        <f t="shared" ca="1" si="0"/>
        <v>2449.4793506493506</v>
      </c>
      <c r="Q7" s="23">
        <f t="shared" ca="1" si="0"/>
        <v>3244.1643030303044</v>
      </c>
      <c r="R7" s="23">
        <f t="shared" ca="1" si="0"/>
        <v>2667.9859937229439</v>
      </c>
      <c r="S7" s="23">
        <f t="shared" ca="1" si="0"/>
        <v>1303.1870004329005</v>
      </c>
      <c r="T7" s="23">
        <f t="shared" ca="1" si="0"/>
        <v>560.10902597402605</v>
      </c>
      <c r="U7" s="23">
        <f t="shared" ca="1" si="0"/>
        <v>10224.925673809526</v>
      </c>
      <c r="V7" s="23">
        <f t="shared" ca="1" si="0"/>
        <v>6901.8230707792227</v>
      </c>
      <c r="W7" s="23">
        <f t="shared" ca="1" si="0"/>
        <v>330.46432532467526</v>
      </c>
      <c r="X7" s="23">
        <f t="shared" ca="1" si="0"/>
        <v>2750</v>
      </c>
      <c r="Y7" s="23">
        <f ca="1">SUM(Y10:Y24)</f>
        <v>4151.8230707792209</v>
      </c>
    </row>
    <row r="9" spans="1:25" s="26" customFormat="1" x14ac:dyDescent="0.25">
      <c r="A9" s="45" t="s">
        <v>14</v>
      </c>
      <c r="B9" s="46" t="s">
        <v>15</v>
      </c>
      <c r="C9" s="46" t="s">
        <v>16</v>
      </c>
      <c r="D9" s="46" t="s">
        <v>8</v>
      </c>
      <c r="E9" s="46" t="s">
        <v>101</v>
      </c>
      <c r="F9" s="46" t="s">
        <v>102</v>
      </c>
      <c r="G9" s="46" t="s">
        <v>18</v>
      </c>
      <c r="H9" s="46" t="s">
        <v>19</v>
      </c>
      <c r="I9" s="46" t="s">
        <v>20</v>
      </c>
      <c r="J9" s="46" t="s">
        <v>103</v>
      </c>
      <c r="K9" s="46" t="s">
        <v>104</v>
      </c>
      <c r="L9" s="46" t="s">
        <v>23</v>
      </c>
      <c r="M9" s="46" t="s">
        <v>24</v>
      </c>
      <c r="N9" s="46" t="s">
        <v>25</v>
      </c>
      <c r="O9" s="46" t="s">
        <v>26</v>
      </c>
      <c r="P9" s="46" t="s">
        <v>105</v>
      </c>
      <c r="Q9" s="46" t="s">
        <v>111</v>
      </c>
      <c r="R9" s="46" t="s">
        <v>99</v>
      </c>
      <c r="S9" s="46" t="s">
        <v>100</v>
      </c>
      <c r="T9" s="46" t="s">
        <v>47</v>
      </c>
      <c r="U9" s="46" t="s">
        <v>28</v>
      </c>
      <c r="V9" s="46" t="s">
        <v>29</v>
      </c>
      <c r="W9" s="46" t="s">
        <v>30</v>
      </c>
      <c r="X9" s="46" t="s">
        <v>31</v>
      </c>
      <c r="Y9" s="47" t="s">
        <v>32</v>
      </c>
    </row>
    <row r="10" spans="1:25" x14ac:dyDescent="0.25">
      <c r="A10" s="43" t="s">
        <v>153</v>
      </c>
      <c r="B10" s="37" t="str">
        <f t="shared" ref="B10:B24" si="1">"03"</f>
        <v>03</v>
      </c>
      <c r="C10" s="38">
        <f t="shared" ref="C10:C24" si="2">EOMONTH(DATE(2026,3,1),0)</f>
        <v>46112</v>
      </c>
      <c r="D10" s="39" t="str">
        <f>Darbuotojai!B6</f>
        <v>Darbuotojas 1</v>
      </c>
      <c r="E10" s="40">
        <f>VLOOKUP(D10,Darbuotojai!$B$6:$D$20,3,FALSE)</f>
        <v>2800</v>
      </c>
      <c r="F10" s="40">
        <f>VLOOKUP(D10,Darbuotojai!$B$6:$E$20,4,FALSE)</f>
        <v>15.909090909090908</v>
      </c>
      <c r="G10" s="37">
        <f t="shared" ref="G10:G24" si="3">NETWORKDAYS(DATE(2026,3,1),DATE(2026,3,31),DATE(2026,3,11))</f>
        <v>21</v>
      </c>
      <c r="H10" s="37">
        <f t="shared" ref="H10:H24" ca="1" si="4">RANDBETWEEN(15,G10)</f>
        <v>16</v>
      </c>
      <c r="I10" s="37">
        <f t="shared" ref="I10:I24" ca="1" si="5">H10*8</f>
        <v>128</v>
      </c>
      <c r="J10" s="40">
        <f t="shared" ref="J10:J24" ca="1" si="6">E10*H10/G10</f>
        <v>2133.3333333333335</v>
      </c>
      <c r="K10" s="40">
        <f t="shared" ref="K10:K24" ca="1" si="7">IF(H10=G10,50,0)</f>
        <v>0</v>
      </c>
      <c r="L10" s="40">
        <f t="shared" ref="L10:L24" ca="1" si="8">IF(G10-H10&gt;4,F10*8*(G10-H10),0)</f>
        <v>636.36363636363637</v>
      </c>
      <c r="M10" s="41">
        <v>0</v>
      </c>
      <c r="N10" s="40">
        <f t="shared" ref="N10:N24" ca="1" si="9">IF(G10-H10&lt;=4,F10*8*RANDBETWEEN(1,2),0)</f>
        <v>0</v>
      </c>
      <c r="O10" s="40">
        <f t="shared" ref="O10:O24" ca="1" si="10">N10+M10+L10+K10+J10</f>
        <v>2769.69696969697</v>
      </c>
      <c r="P10" s="40">
        <f t="shared" ref="P10:P24" ca="1" si="11">IF(IF(O10&lt;=730,460,IF(O10&lt;1678,460-0.26*O10,IF(O10&gt;1678,460-0.18*O10)))&gt;0,IF(O10&lt;=730,460,IF(O10&lt;1678,460-0.26*O10,IF(O10&gt;1678,460-0.18*O10))),0)</f>
        <v>0</v>
      </c>
      <c r="Q10" s="40">
        <f t="shared" ref="Q10:Q24" ca="1" si="12">(O10-P10)*20%</f>
        <v>553.93939393939399</v>
      </c>
      <c r="R10" s="40">
        <f t="shared" ref="R10:R24" ca="1" si="13">O10*14.29%</f>
        <v>395.78969696969699</v>
      </c>
      <c r="S10" s="40">
        <f t="shared" ref="S10:S24" ca="1" si="14">O10*6.98%</f>
        <v>193.3248484848485</v>
      </c>
      <c r="T10" s="40">
        <f ca="1">'Darbo užmokestis'!O10*0.03</f>
        <v>83.090909090909093</v>
      </c>
      <c r="U10" s="40">
        <f t="shared" ref="U10:U24" ca="1" si="15">T10+S10+R10+Q10+P10</f>
        <v>1226.1448484848486</v>
      </c>
      <c r="V10" s="40"/>
      <c r="W10" s="40">
        <f ca="1">1.77%*'Darbo užmokestis'!O10</f>
        <v>49.023636363636371</v>
      </c>
      <c r="X10" s="40">
        <f ca="1">VLOOKUP(D10,Darbuotojai!B6:F20,5,FALSE)</f>
        <v>150</v>
      </c>
      <c r="Y10" s="44">
        <f t="shared" ref="Y10:Y24" ca="1" si="16">V10-X10</f>
        <v>-150</v>
      </c>
    </row>
    <row r="11" spans="1:25" x14ac:dyDescent="0.25">
      <c r="A11" s="43" t="s">
        <v>153</v>
      </c>
      <c r="B11" s="37" t="str">
        <f t="shared" si="1"/>
        <v>03</v>
      </c>
      <c r="C11" s="38">
        <f t="shared" si="2"/>
        <v>46112</v>
      </c>
      <c r="D11" s="39" t="str">
        <f>Darbuotojai!B8</f>
        <v>Darbuotojas 3</v>
      </c>
      <c r="E11" s="40">
        <f>VLOOKUP(D11,Darbuotojai!$B$6:$D$20,3,FALSE)</f>
        <v>1600</v>
      </c>
      <c r="F11" s="40">
        <f>VLOOKUP(D11,Darbuotojai!$B$6:$E$20,4,FALSE)</f>
        <v>9.0909090909090917</v>
      </c>
      <c r="G11" s="37">
        <f t="shared" si="3"/>
        <v>21</v>
      </c>
      <c r="H11" s="37">
        <f t="shared" ca="1" si="4"/>
        <v>21</v>
      </c>
      <c r="I11" s="37">
        <f t="shared" ca="1" si="5"/>
        <v>168</v>
      </c>
      <c r="J11" s="40">
        <f t="shared" ca="1" si="6"/>
        <v>1600</v>
      </c>
      <c r="K11" s="40">
        <f t="shared" ca="1" si="7"/>
        <v>50</v>
      </c>
      <c r="L11" s="40">
        <f t="shared" ca="1" si="8"/>
        <v>0</v>
      </c>
      <c r="M11" s="41">
        <v>0</v>
      </c>
      <c r="N11" s="40">
        <f t="shared" ca="1" si="9"/>
        <v>145.45454545454547</v>
      </c>
      <c r="O11" s="40">
        <f t="shared" ca="1" si="10"/>
        <v>1795.4545454545455</v>
      </c>
      <c r="P11" s="40">
        <f t="shared" ca="1" si="11"/>
        <v>136.81818181818181</v>
      </c>
      <c r="Q11" s="40">
        <f t="shared" ca="1" si="12"/>
        <v>331.72727272727275</v>
      </c>
      <c r="R11" s="40">
        <f t="shared" ca="1" si="13"/>
        <v>256.57045454545454</v>
      </c>
      <c r="S11" s="40">
        <f t="shared" ca="1" si="14"/>
        <v>125.32272727272728</v>
      </c>
      <c r="T11" s="40">
        <f ca="1">'Darbo užmokestis'!O12*0.03</f>
        <v>47.376623376623371</v>
      </c>
      <c r="U11" s="40">
        <f t="shared" ca="1" si="15"/>
        <v>897.81525974025976</v>
      </c>
      <c r="V11" s="40">
        <f t="shared" ref="V11:V24" ca="1" si="17">O11-U11</f>
        <v>897.63928571428573</v>
      </c>
      <c r="W11" s="40">
        <f ca="1">1.77%*'Darbo užmokestis'!O12</f>
        <v>27.952207792207791</v>
      </c>
      <c r="X11" s="40">
        <f ca="1">VLOOKUP(D11,Darbuotojai!B8:F22,5,FALSE)</f>
        <v>200</v>
      </c>
      <c r="Y11" s="44">
        <f t="shared" ca="1" si="16"/>
        <v>697.63928571428573</v>
      </c>
    </row>
    <row r="12" spans="1:25" x14ac:dyDescent="0.25">
      <c r="A12" s="43" t="s">
        <v>153</v>
      </c>
      <c r="B12" s="37" t="str">
        <f t="shared" si="1"/>
        <v>03</v>
      </c>
      <c r="C12" s="38">
        <f t="shared" si="2"/>
        <v>46112</v>
      </c>
      <c r="D12" s="39" t="str">
        <f>Darbuotojai!B10</f>
        <v>Darbuotojas 5</v>
      </c>
      <c r="E12" s="40">
        <f>VLOOKUP(D12,Darbuotojai!$B$6:$D$20,3,FALSE)</f>
        <v>1600</v>
      </c>
      <c r="F12" s="40">
        <f>VLOOKUP(D12,Darbuotojai!$B$6:$E$20,4,FALSE)</f>
        <v>9.0909090909090917</v>
      </c>
      <c r="G12" s="37">
        <f t="shared" si="3"/>
        <v>21</v>
      </c>
      <c r="H12" s="37">
        <f t="shared" ca="1" si="4"/>
        <v>15</v>
      </c>
      <c r="I12" s="37">
        <f t="shared" ca="1" si="5"/>
        <v>120</v>
      </c>
      <c r="J12" s="40">
        <f t="shared" ca="1" si="6"/>
        <v>1142.8571428571429</v>
      </c>
      <c r="K12" s="40">
        <f t="shared" ca="1" si="7"/>
        <v>0</v>
      </c>
      <c r="L12" s="40">
        <f t="shared" ca="1" si="8"/>
        <v>436.36363636363637</v>
      </c>
      <c r="M12" s="41">
        <v>0</v>
      </c>
      <c r="N12" s="40">
        <f t="shared" ca="1" si="9"/>
        <v>0</v>
      </c>
      <c r="O12" s="40">
        <f t="shared" ca="1" si="10"/>
        <v>1579.2207792207791</v>
      </c>
      <c r="P12" s="40">
        <f t="shared" ca="1" si="11"/>
        <v>49.402597402597394</v>
      </c>
      <c r="Q12" s="40">
        <f t="shared" ca="1" si="12"/>
        <v>305.96363636363634</v>
      </c>
      <c r="R12" s="40">
        <f t="shared" ca="1" si="13"/>
        <v>225.67064935064934</v>
      </c>
      <c r="S12" s="40">
        <f t="shared" ca="1" si="14"/>
        <v>110.22961038961039</v>
      </c>
      <c r="T12" s="40">
        <f ca="1">'Darbo užmokestis'!O14*0.03</f>
        <v>30.75357142857143</v>
      </c>
      <c r="U12" s="40">
        <f t="shared" ca="1" si="15"/>
        <v>722.02006493506497</v>
      </c>
      <c r="V12" s="40">
        <f t="shared" ca="1" si="17"/>
        <v>857.20071428571418</v>
      </c>
      <c r="W12" s="40">
        <f ca="1">1.77%*'Darbo užmokestis'!O14</f>
        <v>18.144607142857144</v>
      </c>
      <c r="X12" s="40">
        <f ca="1">VLOOKUP(D12,Darbuotojai!B10:F24,5,FALSE)</f>
        <v>200</v>
      </c>
      <c r="Y12" s="44">
        <f t="shared" ca="1" si="16"/>
        <v>657.20071428571418</v>
      </c>
    </row>
    <row r="13" spans="1:25" x14ac:dyDescent="0.25">
      <c r="A13" s="43" t="s">
        <v>153</v>
      </c>
      <c r="B13" s="37" t="str">
        <f t="shared" si="1"/>
        <v>03</v>
      </c>
      <c r="C13" s="38">
        <f t="shared" si="2"/>
        <v>46112</v>
      </c>
      <c r="D13" s="39" t="str">
        <f>Darbuotojai!B7</f>
        <v>Darbuotojas 2</v>
      </c>
      <c r="E13" s="40">
        <f>VLOOKUP(D13,Darbuotojai!$B$6:$D$20,3,FALSE)</f>
        <v>1505</v>
      </c>
      <c r="F13" s="40">
        <f>VLOOKUP(D13,Darbuotojai!$B$6:$E$20,4,FALSE)</f>
        <v>8.5511363636363633</v>
      </c>
      <c r="G13" s="37">
        <f t="shared" si="3"/>
        <v>21</v>
      </c>
      <c r="H13" s="37">
        <f t="shared" ca="1" si="4"/>
        <v>17</v>
      </c>
      <c r="I13" s="37">
        <f t="shared" ca="1" si="5"/>
        <v>136</v>
      </c>
      <c r="J13" s="40">
        <f t="shared" ca="1" si="6"/>
        <v>1218.3333333333333</v>
      </c>
      <c r="K13" s="40">
        <f t="shared" ca="1" si="7"/>
        <v>0</v>
      </c>
      <c r="L13" s="40">
        <f t="shared" ca="1" si="8"/>
        <v>0</v>
      </c>
      <c r="M13" s="41">
        <v>0</v>
      </c>
      <c r="N13" s="40">
        <f t="shared" ca="1" si="9"/>
        <v>136.81818181818181</v>
      </c>
      <c r="O13" s="40">
        <f t="shared" ca="1" si="10"/>
        <v>1355.151515151515</v>
      </c>
      <c r="P13" s="40">
        <f t="shared" ca="1" si="11"/>
        <v>107.66060606060609</v>
      </c>
      <c r="Q13" s="40">
        <f t="shared" ca="1" si="12"/>
        <v>249.49818181818179</v>
      </c>
      <c r="R13" s="40">
        <f t="shared" ca="1" si="13"/>
        <v>193.6511515151515</v>
      </c>
      <c r="S13" s="40">
        <f t="shared" ca="1" si="14"/>
        <v>94.589575757575744</v>
      </c>
      <c r="T13" s="40">
        <f ca="1">'Darbo užmokestis'!O11*0.03</f>
        <v>53.86363636363636</v>
      </c>
      <c r="U13" s="40">
        <f t="shared" ca="1" si="15"/>
        <v>699.26315151515155</v>
      </c>
      <c r="V13" s="40">
        <f t="shared" ca="1" si="17"/>
        <v>655.88836363636347</v>
      </c>
      <c r="W13" s="40">
        <f ca="1">1.77%*'Darbo užmokestis'!O11</f>
        <v>31.779545454545456</v>
      </c>
      <c r="X13" s="40">
        <f ca="1">VLOOKUP(D13,Darbuotojai!B7:F21,5,FALSE)</f>
        <v>150</v>
      </c>
      <c r="Y13" s="44">
        <f t="shared" ca="1" si="16"/>
        <v>505.88836363636347</v>
      </c>
    </row>
    <row r="14" spans="1:25" x14ac:dyDescent="0.25">
      <c r="A14" s="43" t="s">
        <v>153</v>
      </c>
      <c r="B14" s="37" t="str">
        <f t="shared" si="1"/>
        <v>03</v>
      </c>
      <c r="C14" s="38">
        <f t="shared" si="2"/>
        <v>46112</v>
      </c>
      <c r="D14" s="39" t="str">
        <f>Darbuotojai!B9</f>
        <v>Darbuotojas 4</v>
      </c>
      <c r="E14" s="40">
        <f>VLOOKUP(D14,Darbuotojai!$B$6:$D$20,3,FALSE)</f>
        <v>1199</v>
      </c>
      <c r="F14" s="40">
        <f>VLOOKUP(D14,Darbuotojai!$B$6:$E$20,4,FALSE)</f>
        <v>6.8125</v>
      </c>
      <c r="G14" s="37">
        <f t="shared" si="3"/>
        <v>21</v>
      </c>
      <c r="H14" s="37">
        <f t="shared" ca="1" si="4"/>
        <v>17</v>
      </c>
      <c r="I14" s="37">
        <f t="shared" ca="1" si="5"/>
        <v>136</v>
      </c>
      <c r="J14" s="40">
        <f t="shared" ca="1" si="6"/>
        <v>970.61904761904759</v>
      </c>
      <c r="K14" s="40">
        <f t="shared" ca="1" si="7"/>
        <v>0</v>
      </c>
      <c r="L14" s="40">
        <f t="shared" ca="1" si="8"/>
        <v>0</v>
      </c>
      <c r="M14" s="41">
        <v>0</v>
      </c>
      <c r="N14" s="40">
        <f t="shared" ca="1" si="9"/>
        <v>54.5</v>
      </c>
      <c r="O14" s="40">
        <f t="shared" ca="1" si="10"/>
        <v>1025.1190476190477</v>
      </c>
      <c r="P14" s="40">
        <f t="shared" ca="1" si="11"/>
        <v>193.46904761904761</v>
      </c>
      <c r="Q14" s="40">
        <f t="shared" ca="1" si="12"/>
        <v>166.33000000000004</v>
      </c>
      <c r="R14" s="40">
        <f t="shared" ca="1" si="13"/>
        <v>146.48951190476191</v>
      </c>
      <c r="S14" s="40">
        <f t="shared" ca="1" si="14"/>
        <v>71.553309523809531</v>
      </c>
      <c r="T14" s="40">
        <f ca="1">'Darbo užmokestis'!O13*0.03</f>
        <v>40.654545454545449</v>
      </c>
      <c r="U14" s="40">
        <f t="shared" ca="1" si="15"/>
        <v>618.4964145021645</v>
      </c>
      <c r="V14" s="40">
        <f t="shared" ca="1" si="17"/>
        <v>406.62263311688321</v>
      </c>
      <c r="W14" s="40">
        <f ca="1">1.77%*'Darbo užmokestis'!O13</f>
        <v>23.986181818181816</v>
      </c>
      <c r="X14" s="40">
        <f ca="1">VLOOKUP(D14,Darbuotojai!B9:F23,5,FALSE)</f>
        <v>150</v>
      </c>
      <c r="Y14" s="44">
        <f t="shared" ca="1" si="16"/>
        <v>256.62263311688321</v>
      </c>
    </row>
    <row r="15" spans="1:25" x14ac:dyDescent="0.25">
      <c r="A15" s="43" t="s">
        <v>153</v>
      </c>
      <c r="B15" s="37" t="str">
        <f t="shared" si="1"/>
        <v>03</v>
      </c>
      <c r="C15" s="38">
        <f t="shared" si="2"/>
        <v>46112</v>
      </c>
      <c r="D15" s="39" t="str">
        <f>Darbuotojai!B13</f>
        <v>Darbuotojas 8</v>
      </c>
      <c r="E15" s="40">
        <f>VLOOKUP(D15,Darbuotojai!$B$6:$D$20,3,FALSE)</f>
        <v>1199</v>
      </c>
      <c r="F15" s="40">
        <f>VLOOKUP(D15,Darbuotojai!$B$6:$E$20,4,FALSE)</f>
        <v>6.8125</v>
      </c>
      <c r="G15" s="37">
        <f t="shared" si="3"/>
        <v>21</v>
      </c>
      <c r="H15" s="37">
        <f t="shared" ca="1" si="4"/>
        <v>15</v>
      </c>
      <c r="I15" s="37">
        <f t="shared" ca="1" si="5"/>
        <v>120</v>
      </c>
      <c r="J15" s="40">
        <f t="shared" ca="1" si="6"/>
        <v>856.42857142857144</v>
      </c>
      <c r="K15" s="40">
        <f t="shared" ca="1" si="7"/>
        <v>0</v>
      </c>
      <c r="L15" s="40">
        <f t="shared" ca="1" si="8"/>
        <v>327</v>
      </c>
      <c r="M15" s="41">
        <v>0</v>
      </c>
      <c r="N15" s="40">
        <f t="shared" ca="1" si="9"/>
        <v>0</v>
      </c>
      <c r="O15" s="40">
        <f t="shared" ca="1" si="10"/>
        <v>1183.4285714285716</v>
      </c>
      <c r="P15" s="40">
        <f t="shared" ca="1" si="11"/>
        <v>152.30857142857138</v>
      </c>
      <c r="Q15" s="40">
        <f t="shared" ca="1" si="12"/>
        <v>206.22400000000005</v>
      </c>
      <c r="R15" s="40">
        <f t="shared" ca="1" si="13"/>
        <v>169.11194285714288</v>
      </c>
      <c r="S15" s="40">
        <f t="shared" ca="1" si="14"/>
        <v>82.603314285714291</v>
      </c>
      <c r="T15" s="40">
        <f ca="1">'Darbo užmokestis'!O17*0.03</f>
        <v>29.514935064935063</v>
      </c>
      <c r="U15" s="40">
        <f t="shared" ca="1" si="15"/>
        <v>639.76276363636362</v>
      </c>
      <c r="V15" s="40">
        <f t="shared" ca="1" si="17"/>
        <v>543.66580779220794</v>
      </c>
      <c r="W15" s="40">
        <f ca="1">1.77%*'Darbo užmokestis'!O17</f>
        <v>17.413811688311689</v>
      </c>
      <c r="X15" s="40">
        <f ca="1">VLOOKUP(D15,Darbuotojai!B13:F27,5,FALSE)</f>
        <v>200</v>
      </c>
      <c r="Y15" s="44">
        <f t="shared" ca="1" si="16"/>
        <v>343.66580779220794</v>
      </c>
    </row>
    <row r="16" spans="1:25" x14ac:dyDescent="0.25">
      <c r="A16" s="43" t="s">
        <v>153</v>
      </c>
      <c r="B16" s="37" t="str">
        <f t="shared" si="1"/>
        <v>03</v>
      </c>
      <c r="C16" s="38">
        <f t="shared" si="2"/>
        <v>46112</v>
      </c>
      <c r="D16" s="39" t="str">
        <f>Darbuotojai!B12</f>
        <v>Darbuotojas 7</v>
      </c>
      <c r="E16" s="40">
        <f>VLOOKUP(D16,Darbuotojai!$B$6:$D$20,3,FALSE)</f>
        <v>1090</v>
      </c>
      <c r="F16" s="40">
        <f>VLOOKUP(D16,Darbuotojai!$B$6:$E$20,4,FALSE)</f>
        <v>6.1931818181818183</v>
      </c>
      <c r="G16" s="37">
        <f t="shared" si="3"/>
        <v>21</v>
      </c>
      <c r="H16" s="37">
        <f t="shared" ca="1" si="4"/>
        <v>20</v>
      </c>
      <c r="I16" s="37">
        <f t="shared" ca="1" si="5"/>
        <v>160</v>
      </c>
      <c r="J16" s="40">
        <f t="shared" ca="1" si="6"/>
        <v>1038.0952380952381</v>
      </c>
      <c r="K16" s="40">
        <f t="shared" ca="1" si="7"/>
        <v>0</v>
      </c>
      <c r="L16" s="40">
        <f t="shared" ca="1" si="8"/>
        <v>0</v>
      </c>
      <c r="M16" s="41">
        <v>0</v>
      </c>
      <c r="N16" s="40">
        <f t="shared" ca="1" si="9"/>
        <v>99.090909090909093</v>
      </c>
      <c r="O16" s="40">
        <f t="shared" ca="1" si="10"/>
        <v>1137.1861471861471</v>
      </c>
      <c r="P16" s="40">
        <f t="shared" ca="1" si="11"/>
        <v>164.33160173160172</v>
      </c>
      <c r="Q16" s="40">
        <f t="shared" ca="1" si="12"/>
        <v>194.57090909090908</v>
      </c>
      <c r="R16" s="40">
        <f t="shared" ca="1" si="13"/>
        <v>162.50390043290042</v>
      </c>
      <c r="S16" s="40">
        <f t="shared" ca="1" si="14"/>
        <v>79.375593073593066</v>
      </c>
      <c r="T16" s="40">
        <f ca="1">'Darbo užmokestis'!O16*0.03</f>
        <v>34.115584415584408</v>
      </c>
      <c r="U16" s="40">
        <f t="shared" ca="1" si="15"/>
        <v>634.89758874458869</v>
      </c>
      <c r="V16" s="40">
        <f t="shared" ca="1" si="17"/>
        <v>502.28855844155839</v>
      </c>
      <c r="W16" s="40">
        <f ca="1">1.77%*'Darbo užmokestis'!O16</f>
        <v>20.128194805194806</v>
      </c>
      <c r="X16" s="40">
        <f ca="1">VLOOKUP(D16,Darbuotojai!B12:F26,5,FALSE)</f>
        <v>200</v>
      </c>
      <c r="Y16" s="44">
        <f t="shared" ca="1" si="16"/>
        <v>302.28855844155839</v>
      </c>
    </row>
    <row r="17" spans="1:25" x14ac:dyDescent="0.25">
      <c r="A17" s="43" t="s">
        <v>153</v>
      </c>
      <c r="B17" s="37" t="str">
        <f t="shared" si="1"/>
        <v>03</v>
      </c>
      <c r="C17" s="38">
        <f t="shared" si="2"/>
        <v>46112</v>
      </c>
      <c r="D17" s="39" t="str">
        <f>Darbuotojai!B17</f>
        <v>Darbuotojas 12</v>
      </c>
      <c r="E17" s="40">
        <f>VLOOKUP(D17,Darbuotojai!$B$6:$D$20,3,FALSE)</f>
        <v>1090</v>
      </c>
      <c r="F17" s="40">
        <f>VLOOKUP(D17,Darbuotojai!$B$6:$E$20,4,FALSE)</f>
        <v>6.1931818181818183</v>
      </c>
      <c r="G17" s="37">
        <f t="shared" si="3"/>
        <v>21</v>
      </c>
      <c r="H17" s="37">
        <f t="shared" ca="1" si="4"/>
        <v>18</v>
      </c>
      <c r="I17" s="37">
        <f t="shared" ca="1" si="5"/>
        <v>144</v>
      </c>
      <c r="J17" s="40">
        <f t="shared" ca="1" si="6"/>
        <v>934.28571428571433</v>
      </c>
      <c r="K17" s="40">
        <f t="shared" ca="1" si="7"/>
        <v>0</v>
      </c>
      <c r="L17" s="40">
        <f t="shared" ca="1" si="8"/>
        <v>0</v>
      </c>
      <c r="M17" s="41">
        <v>0</v>
      </c>
      <c r="N17" s="40">
        <f t="shared" ca="1" si="9"/>
        <v>49.545454545454547</v>
      </c>
      <c r="O17" s="40">
        <f t="shared" ca="1" si="10"/>
        <v>983.83116883116884</v>
      </c>
      <c r="P17" s="40">
        <f t="shared" ca="1" si="11"/>
        <v>204.20389610389608</v>
      </c>
      <c r="Q17" s="40">
        <f t="shared" ca="1" si="12"/>
        <v>155.92545454545456</v>
      </c>
      <c r="R17" s="40">
        <f t="shared" ca="1" si="13"/>
        <v>140.58947402597403</v>
      </c>
      <c r="S17" s="40">
        <f t="shared" ca="1" si="14"/>
        <v>68.671415584415584</v>
      </c>
      <c r="T17" s="40">
        <f ca="1">'Darbo užmokestis'!O21*0.03</f>
        <v>32.236363636363635</v>
      </c>
      <c r="U17" s="40">
        <f t="shared" ca="1" si="15"/>
        <v>601.62660389610392</v>
      </c>
      <c r="V17" s="40">
        <f t="shared" ca="1" si="17"/>
        <v>382.20456493506492</v>
      </c>
      <c r="W17" s="40">
        <f ca="1">1.77%*'Darbo užmokestis'!O21</f>
        <v>19.019454545454547</v>
      </c>
      <c r="X17" s="40">
        <f ca="1">VLOOKUP(D17,Darbuotojai!B17:F31,5,FALSE)</f>
        <v>200</v>
      </c>
      <c r="Y17" s="44">
        <f t="shared" ca="1" si="16"/>
        <v>182.20456493506492</v>
      </c>
    </row>
    <row r="18" spans="1:25" x14ac:dyDescent="0.25">
      <c r="A18" s="43" t="s">
        <v>153</v>
      </c>
      <c r="B18" s="37" t="str">
        <f t="shared" si="1"/>
        <v>03</v>
      </c>
      <c r="C18" s="38">
        <f t="shared" si="2"/>
        <v>46112</v>
      </c>
      <c r="D18" s="39" t="str">
        <f>Darbuotojai!B11</f>
        <v>Darbuotojas 6</v>
      </c>
      <c r="E18" s="40">
        <f>VLOOKUP(D18,Darbuotojai!$B$6:$D$20,3,FALSE)</f>
        <v>980</v>
      </c>
      <c r="F18" s="40">
        <f>VLOOKUP(D18,Darbuotojai!$B$6:$E$20,4,FALSE)</f>
        <v>5.5681818181818183</v>
      </c>
      <c r="G18" s="37">
        <f t="shared" si="3"/>
        <v>21</v>
      </c>
      <c r="H18" s="37">
        <f t="shared" ca="1" si="4"/>
        <v>20</v>
      </c>
      <c r="I18" s="37">
        <f t="shared" ca="1" si="5"/>
        <v>160</v>
      </c>
      <c r="J18" s="40">
        <f t="shared" ca="1" si="6"/>
        <v>933.33333333333337</v>
      </c>
      <c r="K18" s="40">
        <f t="shared" ca="1" si="7"/>
        <v>0</v>
      </c>
      <c r="L18" s="40">
        <f t="shared" ca="1" si="8"/>
        <v>0</v>
      </c>
      <c r="M18" s="41">
        <v>0</v>
      </c>
      <c r="N18" s="40">
        <f t="shared" ca="1" si="9"/>
        <v>44.545454545454547</v>
      </c>
      <c r="O18" s="40">
        <f t="shared" ca="1" si="10"/>
        <v>977.87878787878788</v>
      </c>
      <c r="P18" s="40">
        <f t="shared" ca="1" si="11"/>
        <v>205.75151515151515</v>
      </c>
      <c r="Q18" s="40">
        <f t="shared" ca="1" si="12"/>
        <v>154.42545454545456</v>
      </c>
      <c r="R18" s="40">
        <f t="shared" ca="1" si="13"/>
        <v>139.73887878787878</v>
      </c>
      <c r="S18" s="40">
        <f t="shared" ca="1" si="14"/>
        <v>68.2559393939394</v>
      </c>
      <c r="T18" s="40">
        <f ca="1">'Darbo užmokestis'!O15*0.03</f>
        <v>35.502857142857145</v>
      </c>
      <c r="U18" s="40">
        <f t="shared" ca="1" si="15"/>
        <v>603.67464502164501</v>
      </c>
      <c r="V18" s="40">
        <f t="shared" ca="1" si="17"/>
        <v>374.20414285714287</v>
      </c>
      <c r="W18" s="40">
        <f ca="1">1.77%*'Darbo užmokestis'!O15</f>
        <v>20.946685714285717</v>
      </c>
      <c r="X18" s="40">
        <f ca="1">VLOOKUP(D18,Darbuotojai!B11:F25,5,FALSE)</f>
        <v>150</v>
      </c>
      <c r="Y18" s="44">
        <f t="shared" ca="1" si="16"/>
        <v>224.20414285714287</v>
      </c>
    </row>
    <row r="19" spans="1:25" x14ac:dyDescent="0.25">
      <c r="A19" s="43" t="s">
        <v>153</v>
      </c>
      <c r="B19" s="37" t="str">
        <f t="shared" si="1"/>
        <v>03</v>
      </c>
      <c r="C19" s="38">
        <f t="shared" si="2"/>
        <v>46112</v>
      </c>
      <c r="D19" s="39" t="str">
        <f>Darbuotojai!B14</f>
        <v>Darbuotojas 9</v>
      </c>
      <c r="E19" s="40">
        <f>VLOOKUP(D19,Darbuotojai!$B$6:$D$20,3,FALSE)</f>
        <v>980</v>
      </c>
      <c r="F19" s="40">
        <f>VLOOKUP(D19,Darbuotojai!$B$6:$E$20,4,FALSE)</f>
        <v>5.5681818181818183</v>
      </c>
      <c r="G19" s="37">
        <f t="shared" si="3"/>
        <v>21</v>
      </c>
      <c r="H19" s="37">
        <f t="shared" ca="1" si="4"/>
        <v>18</v>
      </c>
      <c r="I19" s="37">
        <f t="shared" ca="1" si="5"/>
        <v>144</v>
      </c>
      <c r="J19" s="40">
        <f t="shared" ca="1" si="6"/>
        <v>840</v>
      </c>
      <c r="K19" s="40">
        <f t="shared" ca="1" si="7"/>
        <v>0</v>
      </c>
      <c r="L19" s="40">
        <f t="shared" ca="1" si="8"/>
        <v>0</v>
      </c>
      <c r="M19" s="41">
        <v>0</v>
      </c>
      <c r="N19" s="40">
        <f t="shared" ca="1" si="9"/>
        <v>44.545454545454547</v>
      </c>
      <c r="O19" s="40">
        <f t="shared" ca="1" si="10"/>
        <v>884.5454545454545</v>
      </c>
      <c r="P19" s="40">
        <f t="shared" ca="1" si="11"/>
        <v>230.01818181818183</v>
      </c>
      <c r="Q19" s="40">
        <f t="shared" ca="1" si="12"/>
        <v>130.90545454545455</v>
      </c>
      <c r="R19" s="40">
        <f t="shared" ca="1" si="13"/>
        <v>126.40154545454544</v>
      </c>
      <c r="S19" s="40">
        <f t="shared" ca="1" si="14"/>
        <v>61.741272727272722</v>
      </c>
      <c r="T19" s="40">
        <f ca="1">'Darbo užmokestis'!O18*0.03</f>
        <v>29.336363636363636</v>
      </c>
      <c r="U19" s="40">
        <f t="shared" ca="1" si="15"/>
        <v>578.40281818181813</v>
      </c>
      <c r="V19" s="40">
        <f t="shared" ca="1" si="17"/>
        <v>306.14263636363637</v>
      </c>
      <c r="W19" s="40">
        <f ca="1">1.77%*'Darbo užmokestis'!O18</f>
        <v>17.308454545454545</v>
      </c>
      <c r="X19" s="40">
        <f ca="1">VLOOKUP(D19,Darbuotojai!B14:F28,5,FALSE)</f>
        <v>200</v>
      </c>
      <c r="Y19" s="44">
        <f t="shared" ca="1" si="16"/>
        <v>106.14263636363637</v>
      </c>
    </row>
    <row r="20" spans="1:25" x14ac:dyDescent="0.25">
      <c r="A20" s="43" t="s">
        <v>153</v>
      </c>
      <c r="B20" s="37" t="str">
        <f t="shared" si="1"/>
        <v>03</v>
      </c>
      <c r="C20" s="38">
        <f t="shared" si="2"/>
        <v>46112</v>
      </c>
      <c r="D20" s="39" t="str">
        <f>Darbuotojai!B15</f>
        <v>Darbuotojas 10</v>
      </c>
      <c r="E20" s="40">
        <f>VLOOKUP(D20,Darbuotojai!$B$6:$D$20,3,FALSE)</f>
        <v>980</v>
      </c>
      <c r="F20" s="40">
        <f>VLOOKUP(D20,Darbuotojai!$B$6:$E$20,4,FALSE)</f>
        <v>5.5681818181818183</v>
      </c>
      <c r="G20" s="37">
        <f t="shared" si="3"/>
        <v>21</v>
      </c>
      <c r="H20" s="37">
        <f t="shared" ca="1" si="4"/>
        <v>21</v>
      </c>
      <c r="I20" s="37">
        <f t="shared" ca="1" si="5"/>
        <v>168</v>
      </c>
      <c r="J20" s="40">
        <f t="shared" ca="1" si="6"/>
        <v>980</v>
      </c>
      <c r="K20" s="40">
        <f t="shared" ca="1" si="7"/>
        <v>50</v>
      </c>
      <c r="L20" s="40">
        <f t="shared" ca="1" si="8"/>
        <v>0</v>
      </c>
      <c r="M20" s="41">
        <v>0</v>
      </c>
      <c r="N20" s="40">
        <f t="shared" ca="1" si="9"/>
        <v>44.545454545454547</v>
      </c>
      <c r="O20" s="40">
        <f t="shared" ca="1" si="10"/>
        <v>1074.5454545454545</v>
      </c>
      <c r="P20" s="40">
        <f t="shared" ca="1" si="11"/>
        <v>180.61818181818182</v>
      </c>
      <c r="Q20" s="40">
        <f t="shared" ca="1" si="12"/>
        <v>178.78545454545454</v>
      </c>
      <c r="R20" s="40">
        <f t="shared" ca="1" si="13"/>
        <v>153.55254545454545</v>
      </c>
      <c r="S20" s="40">
        <f t="shared" ca="1" si="14"/>
        <v>75.00327272727273</v>
      </c>
      <c r="T20" s="40">
        <f ca="1">'Darbo užmokestis'!O19*0.03</f>
        <v>26.536363636363635</v>
      </c>
      <c r="U20" s="40">
        <f t="shared" ca="1" si="15"/>
        <v>614.49581818181821</v>
      </c>
      <c r="V20" s="40">
        <f t="shared" ca="1" si="17"/>
        <v>460.0496363636363</v>
      </c>
      <c r="W20" s="40">
        <f ca="1">1.77%*'Darbo užmokestis'!O19</f>
        <v>15.656454545454546</v>
      </c>
      <c r="X20" s="40">
        <f ca="1">VLOOKUP(D20,Darbuotojai!B15:F29,5,FALSE)</f>
        <v>200</v>
      </c>
      <c r="Y20" s="44">
        <f t="shared" ca="1" si="16"/>
        <v>260.0496363636363</v>
      </c>
    </row>
    <row r="21" spans="1:25" x14ac:dyDescent="0.25">
      <c r="A21" s="43" t="s">
        <v>153</v>
      </c>
      <c r="B21" s="37" t="str">
        <f t="shared" si="1"/>
        <v>03</v>
      </c>
      <c r="C21" s="38">
        <f t="shared" si="2"/>
        <v>46112</v>
      </c>
      <c r="D21" s="39" t="str">
        <f>Darbuotojai!B16</f>
        <v>Darbuotojas 11</v>
      </c>
      <c r="E21" s="40">
        <f>VLOOKUP(D21,Darbuotojai!$B$6:$D$20,3,FALSE)</f>
        <v>980</v>
      </c>
      <c r="F21" s="40">
        <f>VLOOKUP(D21,Darbuotojai!$B$6:$E$20,4,FALSE)</f>
        <v>5.5681818181818183</v>
      </c>
      <c r="G21" s="37">
        <f t="shared" si="3"/>
        <v>21</v>
      </c>
      <c r="H21" s="37">
        <f t="shared" ca="1" si="4"/>
        <v>21</v>
      </c>
      <c r="I21" s="37">
        <f t="shared" ca="1" si="5"/>
        <v>168</v>
      </c>
      <c r="J21" s="40">
        <f t="shared" ca="1" si="6"/>
        <v>980</v>
      </c>
      <c r="K21" s="40">
        <f t="shared" ca="1" si="7"/>
        <v>50</v>
      </c>
      <c r="L21" s="40">
        <f t="shared" ca="1" si="8"/>
        <v>0</v>
      </c>
      <c r="M21" s="41">
        <v>0</v>
      </c>
      <c r="N21" s="40">
        <f t="shared" ca="1" si="9"/>
        <v>44.545454545454547</v>
      </c>
      <c r="O21" s="40">
        <f t="shared" ca="1" si="10"/>
        <v>1074.5454545454545</v>
      </c>
      <c r="P21" s="40">
        <f t="shared" ca="1" si="11"/>
        <v>180.61818181818182</v>
      </c>
      <c r="Q21" s="40">
        <f t="shared" ca="1" si="12"/>
        <v>178.78545454545454</v>
      </c>
      <c r="R21" s="40">
        <f t="shared" ca="1" si="13"/>
        <v>153.55254545454545</v>
      </c>
      <c r="S21" s="40">
        <f t="shared" ca="1" si="14"/>
        <v>75.00327272727273</v>
      </c>
      <c r="T21" s="40">
        <f ca="1">'Darbo užmokestis'!O20*0.03</f>
        <v>32.236363636363635</v>
      </c>
      <c r="U21" s="40">
        <f t="shared" ca="1" si="15"/>
        <v>620.19581818181814</v>
      </c>
      <c r="V21" s="40">
        <f t="shared" ca="1" si="17"/>
        <v>454.34963636363636</v>
      </c>
      <c r="W21" s="40">
        <f ca="1">1.77%*'Darbo užmokestis'!O20</f>
        <v>19.019454545454547</v>
      </c>
      <c r="X21" s="40">
        <f ca="1">VLOOKUP(D21,Darbuotojai!B16:F30,5,FALSE)</f>
        <v>150</v>
      </c>
      <c r="Y21" s="44">
        <f t="shared" ca="1" si="16"/>
        <v>304.34963636363636</v>
      </c>
    </row>
    <row r="22" spans="1:25" x14ac:dyDescent="0.25">
      <c r="A22" s="43" t="s">
        <v>153</v>
      </c>
      <c r="B22" s="37" t="str">
        <f t="shared" si="1"/>
        <v>03</v>
      </c>
      <c r="C22" s="38">
        <f t="shared" si="2"/>
        <v>46112</v>
      </c>
      <c r="D22" s="39" t="str">
        <f>Darbuotojai!B18</f>
        <v>Darbuotojas 13</v>
      </c>
      <c r="E22" s="40">
        <f>VLOOKUP(D22,Darbuotojai!$B$6:$D$20,3,FALSE)</f>
        <v>980</v>
      </c>
      <c r="F22" s="40">
        <f>VLOOKUP(D22,Darbuotojai!$B$6:$E$20,4,FALSE)</f>
        <v>5.5681818181818183</v>
      </c>
      <c r="G22" s="37">
        <f t="shared" si="3"/>
        <v>21</v>
      </c>
      <c r="H22" s="37">
        <f t="shared" ca="1" si="4"/>
        <v>18</v>
      </c>
      <c r="I22" s="37">
        <f t="shared" ca="1" si="5"/>
        <v>144</v>
      </c>
      <c r="J22" s="40">
        <f t="shared" ca="1" si="6"/>
        <v>840</v>
      </c>
      <c r="K22" s="40">
        <f t="shared" ca="1" si="7"/>
        <v>0</v>
      </c>
      <c r="L22" s="40">
        <f t="shared" ca="1" si="8"/>
        <v>0</v>
      </c>
      <c r="M22" s="41">
        <v>0</v>
      </c>
      <c r="N22" s="40">
        <f t="shared" ca="1" si="9"/>
        <v>44.545454545454547</v>
      </c>
      <c r="O22" s="40">
        <f t="shared" ca="1" si="10"/>
        <v>884.5454545454545</v>
      </c>
      <c r="P22" s="40">
        <f t="shared" ca="1" si="11"/>
        <v>230.01818181818183</v>
      </c>
      <c r="Q22" s="40">
        <f t="shared" ca="1" si="12"/>
        <v>130.90545454545455</v>
      </c>
      <c r="R22" s="40">
        <f t="shared" ca="1" si="13"/>
        <v>126.40154545454544</v>
      </c>
      <c r="S22" s="40">
        <f t="shared" ca="1" si="14"/>
        <v>61.741272727272722</v>
      </c>
      <c r="T22" s="40">
        <f ca="1">'Darbo užmokestis'!O22*0.03</f>
        <v>26.536363636363635</v>
      </c>
      <c r="U22" s="40">
        <f t="shared" ca="1" si="15"/>
        <v>575.60281818181818</v>
      </c>
      <c r="V22" s="40">
        <f t="shared" ca="1" si="17"/>
        <v>308.94263636363632</v>
      </c>
      <c r="W22" s="40">
        <f ca="1">1.77%*'Darbo užmokestis'!O22</f>
        <v>15.656454545454546</v>
      </c>
      <c r="X22" s="40">
        <f ca="1">VLOOKUP(D22,Darbuotojai!B18:F32,5,FALSE)</f>
        <v>200</v>
      </c>
      <c r="Y22" s="44">
        <f t="shared" ca="1" si="16"/>
        <v>108.94263636363632</v>
      </c>
    </row>
    <row r="23" spans="1:25" x14ac:dyDescent="0.25">
      <c r="A23" s="43" t="s">
        <v>153</v>
      </c>
      <c r="B23" s="37" t="str">
        <f t="shared" si="1"/>
        <v>03</v>
      </c>
      <c r="C23" s="38">
        <f t="shared" si="2"/>
        <v>46112</v>
      </c>
      <c r="D23" s="39" t="str">
        <f>Darbuotojai!B19</f>
        <v>Darbuotojas 14</v>
      </c>
      <c r="E23" s="40">
        <f>VLOOKUP(D23,Darbuotojai!$B$6:$D$20,3,FALSE)</f>
        <v>980</v>
      </c>
      <c r="F23" s="40">
        <f>VLOOKUP(D23,Darbuotojai!$B$6:$E$20,4,FALSE)</f>
        <v>5.5681818181818183</v>
      </c>
      <c r="G23" s="37">
        <f t="shared" si="3"/>
        <v>21</v>
      </c>
      <c r="H23" s="37">
        <f t="shared" ca="1" si="4"/>
        <v>15</v>
      </c>
      <c r="I23" s="37">
        <f t="shared" ca="1" si="5"/>
        <v>120</v>
      </c>
      <c r="J23" s="40">
        <f t="shared" ca="1" si="6"/>
        <v>700</v>
      </c>
      <c r="K23" s="40">
        <f t="shared" ca="1" si="7"/>
        <v>0</v>
      </c>
      <c r="L23" s="40">
        <f t="shared" ca="1" si="8"/>
        <v>267.27272727272725</v>
      </c>
      <c r="M23" s="41">
        <v>0</v>
      </c>
      <c r="N23" s="40">
        <f t="shared" ca="1" si="9"/>
        <v>0</v>
      </c>
      <c r="O23" s="40">
        <f t="shared" ca="1" si="10"/>
        <v>967.27272727272725</v>
      </c>
      <c r="P23" s="40">
        <f t="shared" ca="1" si="11"/>
        <v>208.5090909090909</v>
      </c>
      <c r="Q23" s="40">
        <f t="shared" ca="1" si="12"/>
        <v>151.75272727272727</v>
      </c>
      <c r="R23" s="40">
        <f t="shared" ca="1" si="13"/>
        <v>138.22327272727273</v>
      </c>
      <c r="S23" s="40">
        <f t="shared" ca="1" si="14"/>
        <v>67.515636363636361</v>
      </c>
      <c r="T23" s="40">
        <f ca="1">'Darbo užmokestis'!O23*0.03</f>
        <v>29.018181818181816</v>
      </c>
      <c r="U23" s="40">
        <f t="shared" ca="1" si="15"/>
        <v>595.01890909090912</v>
      </c>
      <c r="V23" s="40">
        <f t="shared" ca="1" si="17"/>
        <v>372.25381818181813</v>
      </c>
      <c r="W23" s="40">
        <f ca="1">1.77%*'Darbo užmokestis'!O23</f>
        <v>17.120727272727272</v>
      </c>
      <c r="X23" s="40">
        <f ca="1">VLOOKUP(D23,Darbuotojai!B19:F33,5,FALSE)</f>
        <v>200</v>
      </c>
      <c r="Y23" s="44">
        <f t="shared" ca="1" si="16"/>
        <v>172.25381818181813</v>
      </c>
    </row>
    <row r="24" spans="1:25" x14ac:dyDescent="0.25">
      <c r="A24" s="48" t="s">
        <v>153</v>
      </c>
      <c r="B24" s="49" t="str">
        <f t="shared" si="1"/>
        <v>03</v>
      </c>
      <c r="C24" s="50">
        <f t="shared" si="2"/>
        <v>46112</v>
      </c>
      <c r="D24" s="51" t="str">
        <f>Darbuotojai!B20</f>
        <v>Darbuotojas 15</v>
      </c>
      <c r="E24" s="52">
        <f>VLOOKUP(D24,Darbuotojai!$B$6:$D$20,3,FALSE)</f>
        <v>980</v>
      </c>
      <c r="F24" s="52">
        <f>VLOOKUP(D24,Darbuotojai!$B$6:$E$20,4,FALSE)</f>
        <v>5.5681818181818183</v>
      </c>
      <c r="G24" s="49">
        <f t="shared" si="3"/>
        <v>21</v>
      </c>
      <c r="H24" s="49">
        <f t="shared" ca="1" si="4"/>
        <v>20</v>
      </c>
      <c r="I24" s="49">
        <f t="shared" ca="1" si="5"/>
        <v>160</v>
      </c>
      <c r="J24" s="52">
        <f t="shared" ca="1" si="6"/>
        <v>933.33333333333337</v>
      </c>
      <c r="K24" s="52">
        <f t="shared" ca="1" si="7"/>
        <v>0</v>
      </c>
      <c r="L24" s="52">
        <f t="shared" ca="1" si="8"/>
        <v>0</v>
      </c>
      <c r="M24" s="53">
        <v>0</v>
      </c>
      <c r="N24" s="52">
        <f t="shared" ca="1" si="9"/>
        <v>44.545454545454547</v>
      </c>
      <c r="O24" s="52">
        <f t="shared" ca="1" si="10"/>
        <v>977.87878787878788</v>
      </c>
      <c r="P24" s="52">
        <f t="shared" ca="1" si="11"/>
        <v>205.75151515151515</v>
      </c>
      <c r="Q24" s="52">
        <f t="shared" ca="1" si="12"/>
        <v>154.42545454545456</v>
      </c>
      <c r="R24" s="52">
        <f t="shared" ca="1" si="13"/>
        <v>139.73887878787878</v>
      </c>
      <c r="S24" s="52">
        <f t="shared" ca="1" si="14"/>
        <v>68.2559393939394</v>
      </c>
      <c r="T24" s="52">
        <f ca="1">'Darbo užmokestis'!O24*0.03</f>
        <v>29.336363636363636</v>
      </c>
      <c r="U24" s="52">
        <f t="shared" ca="1" si="15"/>
        <v>597.50815151515155</v>
      </c>
      <c r="V24" s="52">
        <f t="shared" ca="1" si="17"/>
        <v>380.37063636363632</v>
      </c>
      <c r="W24" s="52">
        <f ca="1">1.77%*'Darbo užmokestis'!O24</f>
        <v>17.308454545454545</v>
      </c>
      <c r="X24" s="52">
        <f ca="1">VLOOKUP(D24,Darbuotojai!B20:F34,5,FALSE)</f>
        <v>200</v>
      </c>
      <c r="Y24" s="54">
        <f t="shared" ca="1" si="16"/>
        <v>180.37063636363632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9:V24">
    <cfRule type="top10" dxfId="1" priority="1" bottom="1" rank="5"/>
  </conditionalFormatting>
  <conditionalFormatting sqref="V10:V24">
    <cfRule type="top10" dxfId="0" priority="2" bottom="1" rank="5"/>
    <cfRule type="top10" priority="3" bottom="1" rank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8" sqref="C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42"/>
    </row>
    <row r="4" spans="1:3" ht="30" x14ac:dyDescent="0.25">
      <c r="A4" s="1">
        <v>2</v>
      </c>
      <c r="B4" s="28" t="s">
        <v>119</v>
      </c>
      <c r="C4" s="33"/>
    </row>
    <row r="5" spans="1:3" x14ac:dyDescent="0.25">
      <c r="A5" s="1">
        <v>3</v>
      </c>
      <c r="B5" s="1" t="s">
        <v>107</v>
      </c>
      <c r="C5" s="33"/>
    </row>
    <row r="6" spans="1:3" ht="30" x14ac:dyDescent="0.25">
      <c r="A6" s="1">
        <v>4</v>
      </c>
      <c r="B6" s="28" t="s">
        <v>118</v>
      </c>
      <c r="C6" s="33"/>
    </row>
    <row r="7" spans="1:3" x14ac:dyDescent="0.25">
      <c r="A7" s="1">
        <v>5</v>
      </c>
      <c r="B7" s="1" t="s">
        <v>108</v>
      </c>
      <c r="C7" s="33"/>
    </row>
    <row r="8" spans="1:3" x14ac:dyDescent="0.25">
      <c r="A8" s="1">
        <v>6</v>
      </c>
      <c r="B8" s="1" t="s">
        <v>110</v>
      </c>
      <c r="C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Mokinys_9</cp:lastModifiedBy>
  <dcterms:created xsi:type="dcterms:W3CDTF">2018-12-13T14:39:32Z</dcterms:created>
  <dcterms:modified xsi:type="dcterms:W3CDTF">2026-05-22T07:14:31Z</dcterms:modified>
</cp:coreProperties>
</file>