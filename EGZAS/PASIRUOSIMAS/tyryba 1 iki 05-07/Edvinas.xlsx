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aujas_serveris\4kt2\PASIRUOSIMAS\tyryba 1 iki 05-07\"/>
    </mc:Choice>
  </mc:AlternateContent>
  <xr:revisionPtr revIDLastSave="0" documentId="13_ncr:1_{939EDA02-7702-40EA-8C12-3D0341555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žduotis" sheetId="4" r:id="rId1"/>
    <sheet name="Pareigybės" sheetId="5" r:id="rId2"/>
    <sheet name="Darbuotojai" sheetId="2" r:id="rId3"/>
    <sheet name="Darbo užmokestis" sheetId="3" r:id="rId4"/>
    <sheet name="suvestinė" sheetId="6" r:id="rId5"/>
  </sheets>
  <definedNames>
    <definedName name="_xlnm._FilterDatabase" localSheetId="3" hidden="1">'Darbo užmokestis'!$A$9:$Y$24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3" l="1"/>
  <c r="I23" i="3" s="1"/>
  <c r="G16" i="3"/>
  <c r="H16" i="3" s="1"/>
  <c r="I16" i="3" s="1"/>
  <c r="G18" i="3"/>
  <c r="H18" i="3" s="1"/>
  <c r="G19" i="3"/>
  <c r="H19" i="3" s="1"/>
  <c r="I19" i="3" s="1"/>
  <c r="G20" i="3"/>
  <c r="H20" i="3" s="1"/>
  <c r="I20" i="3" s="1"/>
  <c r="G17" i="3"/>
  <c r="H17" i="3" s="1"/>
  <c r="I17" i="3" s="1"/>
  <c r="G11" i="3"/>
  <c r="H11" i="3" s="1"/>
  <c r="I11" i="3" s="1"/>
  <c r="G15" i="3"/>
  <c r="H15" i="3" s="1"/>
  <c r="I15" i="3" s="1"/>
  <c r="G12" i="3"/>
  <c r="H12" i="3" s="1"/>
  <c r="I12" i="3" s="1"/>
  <c r="G21" i="3"/>
  <c r="H21" i="3" s="1"/>
  <c r="I21" i="3" s="1"/>
  <c r="G22" i="3"/>
  <c r="H22" i="3" s="1"/>
  <c r="I22" i="3" s="1"/>
  <c r="G23" i="3"/>
  <c r="G24" i="3"/>
  <c r="H24" i="3" s="1"/>
  <c r="I24" i="3" s="1"/>
  <c r="G13" i="3"/>
  <c r="H13" i="3" s="1"/>
  <c r="I13" i="3" s="1"/>
  <c r="G10" i="3"/>
  <c r="H10" i="3" s="1"/>
  <c r="G14" i="3"/>
  <c r="H14" i="3" s="1"/>
  <c r="F17" i="3"/>
  <c r="D16" i="3"/>
  <c r="F16" i="3" s="1"/>
  <c r="D18" i="3"/>
  <c r="F18" i="3" s="1"/>
  <c r="D19" i="3"/>
  <c r="F19" i="3" s="1"/>
  <c r="D20" i="3"/>
  <c r="E20" i="3" s="1"/>
  <c r="D17" i="3"/>
  <c r="E17" i="3" s="1"/>
  <c r="D11" i="3"/>
  <c r="E11" i="3" s="1"/>
  <c r="D15" i="3"/>
  <c r="F15" i="3" s="1"/>
  <c r="D12" i="3"/>
  <c r="F12" i="3" s="1"/>
  <c r="D21" i="3"/>
  <c r="F21" i="3" s="1"/>
  <c r="D22" i="3"/>
  <c r="F22" i="3" s="1"/>
  <c r="D23" i="3"/>
  <c r="F23" i="3" s="1"/>
  <c r="D24" i="3"/>
  <c r="F24" i="3" s="1"/>
  <c r="D13" i="3"/>
  <c r="F13" i="3" s="1"/>
  <c r="D10" i="3"/>
  <c r="F10" i="3" s="1"/>
  <c r="D14" i="3"/>
  <c r="F14" i="3" s="1"/>
  <c r="C16" i="3"/>
  <c r="C18" i="3"/>
  <c r="C19" i="3"/>
  <c r="C20" i="3"/>
  <c r="C17" i="3"/>
  <c r="C11" i="3"/>
  <c r="C15" i="3"/>
  <c r="C12" i="3"/>
  <c r="C21" i="3"/>
  <c r="C22" i="3"/>
  <c r="C23" i="3"/>
  <c r="C24" i="3"/>
  <c r="C13" i="3"/>
  <c r="C10" i="3"/>
  <c r="C14" i="3"/>
  <c r="B16" i="3"/>
  <c r="B18" i="3"/>
  <c r="B19" i="3"/>
  <c r="B20" i="3"/>
  <c r="B17" i="3"/>
  <c r="B11" i="3"/>
  <c r="B15" i="3"/>
  <c r="B12" i="3"/>
  <c r="B21" i="3"/>
  <c r="B22" i="3"/>
  <c r="B23" i="3"/>
  <c r="B24" i="3"/>
  <c r="B13" i="3"/>
  <c r="B10" i="3"/>
  <c r="B14" i="3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6" i="2"/>
  <c r="F7" i="2"/>
  <c r="X16" i="3" s="1"/>
  <c r="F8" i="2"/>
  <c r="X18" i="3" s="1"/>
  <c r="F9" i="2"/>
  <c r="X19" i="3" s="1"/>
  <c r="F10" i="2"/>
  <c r="X20" i="3" s="1"/>
  <c r="F11" i="2"/>
  <c r="X17" i="3" s="1"/>
  <c r="F12" i="2"/>
  <c r="X11" i="3" s="1"/>
  <c r="F13" i="2"/>
  <c r="X15" i="3" s="1"/>
  <c r="F14" i="2"/>
  <c r="X12" i="3" s="1"/>
  <c r="F15" i="2"/>
  <c r="X21" i="3" s="1"/>
  <c r="F16" i="2"/>
  <c r="X22" i="3" s="1"/>
  <c r="F17" i="2"/>
  <c r="X23" i="3" s="1"/>
  <c r="F18" i="2"/>
  <c r="X24" i="3" s="1"/>
  <c r="F19" i="2"/>
  <c r="X13" i="3" s="1"/>
  <c r="F20" i="2"/>
  <c r="X10" i="3" s="1"/>
  <c r="F6" i="2"/>
  <c r="X14" i="3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6" i="2"/>
  <c r="C13" i="2"/>
  <c r="C11" i="2"/>
  <c r="C6" i="2"/>
  <c r="C14" i="2"/>
  <c r="C12" i="2"/>
  <c r="C15" i="2"/>
  <c r="C16" i="2"/>
  <c r="C17" i="2"/>
  <c r="C18" i="2"/>
  <c r="C19" i="2"/>
  <c r="C20" i="2"/>
  <c r="C9" i="2"/>
  <c r="C10" i="2"/>
  <c r="C8" i="2"/>
  <c r="C7" i="2"/>
  <c r="M7" i="3"/>
  <c r="C5" i="6" l="1"/>
  <c r="C3" i="6"/>
  <c r="E10" i="3"/>
  <c r="E18" i="3"/>
  <c r="J10" i="3"/>
  <c r="T10" i="3" s="1"/>
  <c r="J18" i="3"/>
  <c r="T18" i="3" s="1"/>
  <c r="I10" i="3"/>
  <c r="I18" i="3"/>
  <c r="J11" i="3"/>
  <c r="T11" i="3" s="1"/>
  <c r="J17" i="3"/>
  <c r="T17" i="3" s="1"/>
  <c r="J20" i="3"/>
  <c r="T20" i="3" s="1"/>
  <c r="J14" i="3"/>
  <c r="T14" i="3" s="1"/>
  <c r="J19" i="3"/>
  <c r="T19" i="3" s="1"/>
  <c r="E14" i="3"/>
  <c r="E19" i="3"/>
  <c r="F11" i="3"/>
  <c r="L11" i="3" s="1"/>
  <c r="E13" i="3"/>
  <c r="J13" i="3" s="1"/>
  <c r="T13" i="3" s="1"/>
  <c r="E16" i="3"/>
  <c r="J16" i="3" s="1"/>
  <c r="T16" i="3" s="1"/>
  <c r="F20" i="3"/>
  <c r="L20" i="3" s="1"/>
  <c r="E24" i="3"/>
  <c r="J24" i="3" s="1"/>
  <c r="T24" i="3" s="1"/>
  <c r="E23" i="3"/>
  <c r="J23" i="3" s="1"/>
  <c r="T23" i="3" s="1"/>
  <c r="E22" i="3"/>
  <c r="J22" i="3" s="1"/>
  <c r="T22" i="3" s="1"/>
  <c r="E21" i="3"/>
  <c r="J21" i="3" s="1"/>
  <c r="T21" i="3" s="1"/>
  <c r="E12" i="3"/>
  <c r="J12" i="3" s="1"/>
  <c r="T12" i="3" s="1"/>
  <c r="E15" i="3"/>
  <c r="J15" i="3" s="1"/>
  <c r="T15" i="3" s="1"/>
  <c r="N24" i="3"/>
  <c r="N23" i="3"/>
  <c r="N20" i="3"/>
  <c r="N19" i="3"/>
  <c r="N22" i="3"/>
  <c r="N21" i="3"/>
  <c r="N12" i="3"/>
  <c r="N15" i="3"/>
  <c r="N11" i="3"/>
  <c r="N17" i="3"/>
  <c r="N10" i="3"/>
  <c r="N18" i="3"/>
  <c r="N13" i="3"/>
  <c r="N16" i="3"/>
  <c r="L24" i="3"/>
  <c r="L23" i="3"/>
  <c r="L22" i="3"/>
  <c r="N14" i="3"/>
  <c r="L21" i="3"/>
  <c r="L12" i="3"/>
  <c r="L15" i="3"/>
  <c r="L17" i="3"/>
  <c r="L19" i="3"/>
  <c r="L10" i="3"/>
  <c r="L18" i="3"/>
  <c r="L13" i="3"/>
  <c r="L16" i="3"/>
  <c r="L14" i="3"/>
  <c r="I14" i="3"/>
  <c r="K24" i="3"/>
  <c r="K20" i="3"/>
  <c r="K23" i="3"/>
  <c r="K19" i="3"/>
  <c r="K22" i="3"/>
  <c r="K21" i="3"/>
  <c r="K12" i="3"/>
  <c r="K15" i="3"/>
  <c r="K11" i="3"/>
  <c r="K17" i="3"/>
  <c r="K10" i="3"/>
  <c r="K18" i="3"/>
  <c r="K13" i="3"/>
  <c r="K16" i="3"/>
  <c r="K14" i="3"/>
  <c r="X7" i="3"/>
  <c r="O22" i="3" l="1"/>
  <c r="W22" i="3" s="1"/>
  <c r="O19" i="3"/>
  <c r="W19" i="3" s="1"/>
  <c r="O20" i="3"/>
  <c r="W20" i="3" s="1"/>
  <c r="O10" i="3"/>
  <c r="W10" i="3" s="1"/>
  <c r="O21" i="3"/>
  <c r="W21" i="3" s="1"/>
  <c r="O14" i="3"/>
  <c r="W14" i="3" s="1"/>
  <c r="O15" i="3"/>
  <c r="W15" i="3" s="1"/>
  <c r="O17" i="3"/>
  <c r="W17" i="3" s="1"/>
  <c r="O16" i="3"/>
  <c r="W16" i="3" s="1"/>
  <c r="O18" i="3"/>
  <c r="W18" i="3" s="1"/>
  <c r="O12" i="3"/>
  <c r="W12" i="3" s="1"/>
  <c r="O11" i="3"/>
  <c r="W11" i="3" s="1"/>
  <c r="O13" i="3"/>
  <c r="W13" i="3" s="1"/>
  <c r="O23" i="3"/>
  <c r="W23" i="3" s="1"/>
  <c r="O24" i="3"/>
  <c r="W24" i="3" s="1"/>
  <c r="L7" i="3"/>
  <c r="K7" i="3"/>
  <c r="N7" i="3"/>
  <c r="R12" i="3" l="1"/>
  <c r="S12" i="3"/>
  <c r="R16" i="3"/>
  <c r="S16" i="3"/>
  <c r="R18" i="3"/>
  <c r="S18" i="3"/>
  <c r="R21" i="3"/>
  <c r="S21" i="3"/>
  <c r="R20" i="3"/>
  <c r="S20" i="3"/>
  <c r="R11" i="3"/>
  <c r="S11" i="3"/>
  <c r="R17" i="3"/>
  <c r="S17" i="3"/>
  <c r="R15" i="3"/>
  <c r="S15" i="3"/>
  <c r="R10" i="3"/>
  <c r="S10" i="3"/>
  <c r="R24" i="3"/>
  <c r="S24" i="3"/>
  <c r="R23" i="3"/>
  <c r="S23" i="3"/>
  <c r="R19" i="3"/>
  <c r="S19" i="3"/>
  <c r="R13" i="3"/>
  <c r="S13" i="3"/>
  <c r="R22" i="3"/>
  <c r="S22" i="3"/>
  <c r="R14" i="3"/>
  <c r="S14" i="3"/>
  <c r="P14" i="3"/>
  <c r="P11" i="3"/>
  <c r="P12" i="3"/>
  <c r="P18" i="3"/>
  <c r="P16" i="3"/>
  <c r="P17" i="3"/>
  <c r="P15" i="3"/>
  <c r="P21" i="3"/>
  <c r="P10" i="3"/>
  <c r="P24" i="3"/>
  <c r="P20" i="3"/>
  <c r="P23" i="3"/>
  <c r="P19" i="3"/>
  <c r="P13" i="3"/>
  <c r="P22" i="3"/>
  <c r="J7" i="3"/>
  <c r="C6" i="6" l="1"/>
  <c r="C7" i="6"/>
  <c r="S1" i="3"/>
  <c r="S2" i="3"/>
  <c r="Q19" i="3"/>
  <c r="U19" i="3" s="1"/>
  <c r="V19" i="3" s="1"/>
  <c r="Y19" i="3" s="1"/>
  <c r="Q18" i="3"/>
  <c r="U18" i="3" s="1"/>
  <c r="V18" i="3" s="1"/>
  <c r="Y18" i="3" s="1"/>
  <c r="Q13" i="3"/>
  <c r="U13" i="3" s="1"/>
  <c r="V13" i="3" s="1"/>
  <c r="Q20" i="3"/>
  <c r="U20" i="3" s="1"/>
  <c r="V20" i="3" s="1"/>
  <c r="Y20" i="3" s="1"/>
  <c r="Q24" i="3"/>
  <c r="U24" i="3" s="1"/>
  <c r="V24" i="3" s="1"/>
  <c r="Y24" i="3" s="1"/>
  <c r="Q16" i="3"/>
  <c r="U16" i="3" s="1"/>
  <c r="V16" i="3" s="1"/>
  <c r="Y16" i="3" s="1"/>
  <c r="Q12" i="3"/>
  <c r="U12" i="3" s="1"/>
  <c r="V12" i="3" s="1"/>
  <c r="Y12" i="3" s="1"/>
  <c r="Q10" i="3"/>
  <c r="Q21" i="3"/>
  <c r="U21" i="3" s="1"/>
  <c r="V21" i="3" s="1"/>
  <c r="Y21" i="3" s="1"/>
  <c r="Q17" i="3"/>
  <c r="U17" i="3" s="1"/>
  <c r="V17" i="3" s="1"/>
  <c r="Y17" i="3" s="1"/>
  <c r="Q22" i="3"/>
  <c r="U22" i="3" s="1"/>
  <c r="V22" i="3" s="1"/>
  <c r="Y22" i="3" s="1"/>
  <c r="Q11" i="3"/>
  <c r="U11" i="3" s="1"/>
  <c r="V11" i="3" s="1"/>
  <c r="Y11" i="3" s="1"/>
  <c r="Q23" i="3"/>
  <c r="U23" i="3" s="1"/>
  <c r="V23" i="3" s="1"/>
  <c r="Y23" i="3" s="1"/>
  <c r="Q15" i="3"/>
  <c r="U15" i="3" s="1"/>
  <c r="V15" i="3" s="1"/>
  <c r="Y15" i="3" s="1"/>
  <c r="Q14" i="3"/>
  <c r="U14" i="3" s="1"/>
  <c r="V14" i="3" s="1"/>
  <c r="Y14" i="3" s="1"/>
  <c r="T7" i="3"/>
  <c r="R7" i="3"/>
  <c r="O7" i="3"/>
  <c r="L2" i="3" s="1"/>
  <c r="S7" i="3"/>
  <c r="W7" i="3"/>
  <c r="U10" i="3" l="1"/>
  <c r="V10" i="3" s="1"/>
  <c r="Y10" i="3" s="1"/>
  <c r="C8" i="6"/>
  <c r="Y13" i="3"/>
  <c r="C4" i="6"/>
  <c r="P7" i="3"/>
  <c r="Q7" i="3"/>
  <c r="U7" i="3" l="1"/>
  <c r="Y7" i="3"/>
  <c r="V7" i="3"/>
</calcChain>
</file>

<file path=xl/sharedStrings.xml><?xml version="1.0" encoding="utf-8"?>
<sst xmlns="http://schemas.openxmlformats.org/spreadsheetml/2006/main" count="247" uniqueCount="175">
  <si>
    <t>Eil. Nr.</t>
  </si>
  <si>
    <t>Vadybininkas</t>
  </si>
  <si>
    <t>Administratorė</t>
  </si>
  <si>
    <t>Vadovas</t>
  </si>
  <si>
    <t>Garantinis fondas</t>
  </si>
  <si>
    <t>Pareigos</t>
  </si>
  <si>
    <t>Darbo užmokestis</t>
  </si>
  <si>
    <t>Darbuotojai</t>
  </si>
  <si>
    <t>Pavardė, vardas</t>
  </si>
  <si>
    <r>
      <t xml:space="preserve">Valandinis tarifinis atlygis, </t>
    </r>
    <r>
      <rPr>
        <sz val="11"/>
        <color theme="1"/>
        <rFont val="Tahoma"/>
        <family val="2"/>
      </rPr>
      <t>€</t>
    </r>
  </si>
  <si>
    <r>
      <t xml:space="preserve">Avansas, </t>
    </r>
    <r>
      <rPr>
        <sz val="11"/>
        <color theme="1"/>
        <rFont val="Tahoma"/>
        <family val="2"/>
      </rPr>
      <t>€</t>
    </r>
  </si>
  <si>
    <t>Asmens kodas</t>
  </si>
  <si>
    <t>Tel. Nr.</t>
  </si>
  <si>
    <t>Adresas</t>
  </si>
  <si>
    <t>Registras</t>
  </si>
  <si>
    <t>Op. Nr.</t>
  </si>
  <si>
    <t>Skaičiavimo data</t>
  </si>
  <si>
    <r>
      <t xml:space="preserve">Pareiginis atlyginimas, </t>
    </r>
    <r>
      <rPr>
        <sz val="11"/>
        <color theme="1"/>
        <rFont val="Tahoma"/>
        <family val="2"/>
      </rPr>
      <t>€</t>
    </r>
  </si>
  <si>
    <t xml:space="preserve">Nustatytas darbo dienų skaičius </t>
  </si>
  <si>
    <t>Faktiškai dirbta, d.</t>
  </si>
  <si>
    <t>Faktiškai dirbta, val.</t>
  </si>
  <si>
    <r>
      <t xml:space="preserve">Atlyginimas, </t>
    </r>
    <r>
      <rPr>
        <sz val="11"/>
        <color theme="1"/>
        <rFont val="Tahoma"/>
        <family val="2"/>
      </rPr>
      <t>€</t>
    </r>
  </si>
  <si>
    <r>
      <t xml:space="preserve">Mėnesinė priemoka, </t>
    </r>
    <r>
      <rPr>
        <sz val="11"/>
        <color theme="1"/>
        <rFont val="Tahoma"/>
        <family val="2"/>
      </rPr>
      <t>€</t>
    </r>
  </si>
  <si>
    <t>Eilinės atostogos,  €</t>
  </si>
  <si>
    <t>Kompensacija už nepanaudotas atostogas,  €</t>
  </si>
  <si>
    <t>Nedarbingumo pašalpa darbdavio lėšomis,  €</t>
  </si>
  <si>
    <t>Priskaičiuota iš viso,  €</t>
  </si>
  <si>
    <r>
      <t xml:space="preserve">pritaikytas NPD, </t>
    </r>
    <r>
      <rPr>
        <sz val="11"/>
        <color theme="1"/>
        <rFont val="Tahoma"/>
        <family val="2"/>
      </rPr>
      <t>€</t>
    </r>
  </si>
  <si>
    <t>Išskaičiuota iš viso, €</t>
  </si>
  <si>
    <t>Išmokėtina suma, €</t>
  </si>
  <si>
    <t>Darbdavio VSD įmokos, €</t>
  </si>
  <si>
    <t>Avansas, €</t>
  </si>
  <si>
    <t>Išmokėtina suma po avanso, €</t>
  </si>
  <si>
    <t>Savarankiško darbo užduotis:</t>
  </si>
  <si>
    <t>Darbalapis "Darbuotojai"</t>
  </si>
  <si>
    <t>Stulpelio pavadinimas</t>
  </si>
  <si>
    <t>Užduotis</t>
  </si>
  <si>
    <t>Sukurkite seką</t>
  </si>
  <si>
    <t>Sukurkite seką "Darbuotojas1" ir t.t.</t>
  </si>
  <si>
    <t>Pareigybė</t>
  </si>
  <si>
    <t>Buhalterė</t>
  </si>
  <si>
    <t>Sandėlininkas</t>
  </si>
  <si>
    <t xml:space="preserve">Darbuotojų skaičius </t>
  </si>
  <si>
    <t>Gamybos darbuotojas</t>
  </si>
  <si>
    <t>Sudarykite  sąrašą ir parinkite vieną iš pateiktų pareigybių kiekvienam darbuotojui. Pareigybių skaičius duotas "Pareigybės" lape</t>
  </si>
  <si>
    <t>VSD darbuotojo</t>
  </si>
  <si>
    <t>VSD darbdavio</t>
  </si>
  <si>
    <t xml:space="preserve">Papildomas pensijinis kaupimas </t>
  </si>
  <si>
    <t>Apskaičiuokite iš pareiginio atlyginimo imdami vidutinį mėnesio darbo dienų skaičių 22</t>
  </si>
  <si>
    <t>x</t>
  </si>
  <si>
    <t>nepildyti</t>
  </si>
  <si>
    <t>sugalvokite patys</t>
  </si>
  <si>
    <t>Darbalapis "Darbo užmokestis"</t>
  </si>
  <si>
    <t>nukopijuokite darbuotojus iš darbuotojų lapo</t>
  </si>
  <si>
    <t>Parinkite kiekvienam darbuotojui pareiginį atlyginimą pagal pareigas</t>
  </si>
  <si>
    <t>Parinkite kiekvienam darbuotojui pareiginį atlyginimą iš darbuotojų lapo</t>
  </si>
  <si>
    <t>Parinkite kiekvienam darbuotojui pareiginį valandinį atlyginimą iš darbuotojų lapo</t>
  </si>
  <si>
    <t>Išmokama = priskaičiuota - išskaičiuota</t>
  </si>
  <si>
    <t>visa išskaičiuota suma mokesčiams</t>
  </si>
  <si>
    <t>Parinkite iš darbuotojų lapo</t>
  </si>
  <si>
    <t>Išmokama suma atėmus avansą</t>
  </si>
  <si>
    <t>parinkite atsitiktiniu būdu nuo 15 iki mėnesio darbo dienų skaičiaus</t>
  </si>
  <si>
    <t>dienos * 8 val.</t>
  </si>
  <si>
    <t>Skirkite mėnesinę priemoką 50 eurų, jei dirbo visas darbo dienas</t>
  </si>
  <si>
    <t>Jei darbuotojas nedirbo daugiau nei 4 dienas, tada jis tas dienas buvo atostogose. Paskaičiuokite už tas dienas atostoginius</t>
  </si>
  <si>
    <t>Visos priskaičiuotos sumos</t>
  </si>
  <si>
    <t>Nedarbingumo pašalpa</t>
  </si>
  <si>
    <t>0,2% nuo visiems darbuotojams priskaičiuotų atlyginimų</t>
  </si>
  <si>
    <t>apskaičiuokite darbo dienų skaičių su funkcija Networkdays(). Nepamirškite švenčių dienų.</t>
  </si>
  <si>
    <t>Jei darbuotojas nedirbo  4 ar mažiau dienų, tada jis sirgo. Paskaičiuokite už tas 1-2 dienas darbdavio mokamą atlyginimą</t>
  </si>
  <si>
    <t>UAB "Jaunystė"</t>
  </si>
  <si>
    <t>Įmonės kodas 1222555888</t>
  </si>
  <si>
    <t>Darbo užmokesčio registras</t>
  </si>
  <si>
    <t>mėnuo</t>
  </si>
  <si>
    <t>A5</t>
  </si>
  <si>
    <t>Įmoka</t>
  </si>
  <si>
    <t>Iš viso:</t>
  </si>
  <si>
    <t xml:space="preserve">5 eilutėje </t>
  </si>
  <si>
    <t>suskaičiuokite stulpelių sumas</t>
  </si>
  <si>
    <t>Išrikiuokite duomenis pagal pareiginį atlyginimą mažėjančia tvarka</t>
  </si>
  <si>
    <t>Sukurkite skritulinę  diagramą, kurioje pateikite darbuotojas1 sumokamus mokesčius ir išmokamą sumą</t>
  </si>
  <si>
    <t>Sukurkite stulpelinę diagramą, kurioje pateikite darbuotojus ir jiems išmokamas sumas, uždėkite etiketes, ašių pavadinimus, stulpelių spalva - oranžinė</t>
  </si>
  <si>
    <t>Pastabos</t>
  </si>
  <si>
    <t>sąrašas</t>
  </si>
  <si>
    <t>concatenate()</t>
  </si>
  <si>
    <t>choose()</t>
  </si>
  <si>
    <t>vlookup()</t>
  </si>
  <si>
    <t>randbetween()</t>
  </si>
  <si>
    <t>atlyginimas*fakt.dirbtų d./d.d.skaičius</t>
  </si>
  <si>
    <t>IF</t>
  </si>
  <si>
    <t>Formatuokite lentelę</t>
  </si>
  <si>
    <t>koeficientams suteikite vardus</t>
  </si>
  <si>
    <t>Avansą parinkite atsitiktiniu būdu  150 arba 200 eurų</t>
  </si>
  <si>
    <t>sujunkite "+370 6" ir 7 atsitiktiniai skaičiai</t>
  </si>
  <si>
    <r>
      <t xml:space="preserve">VSD  ir PSD įmokos, </t>
    </r>
    <r>
      <rPr>
        <sz val="11"/>
        <color theme="1"/>
        <rFont val="Tahoma"/>
        <family val="2"/>
      </rPr>
      <t>€</t>
    </r>
  </si>
  <si>
    <t>PSD</t>
  </si>
  <si>
    <t>Ilgalaikio darbo išmokų fondo įmoka</t>
  </si>
  <si>
    <t>Soc. draudimo įmokos nelaimingų atsitikimų draudimui</t>
  </si>
  <si>
    <t>VSD įmoka, €</t>
  </si>
  <si>
    <t>PSD įmoka,  €</t>
  </si>
  <si>
    <t>Pareiginis atlyginimas, €</t>
  </si>
  <si>
    <t>Valandinis tarifinis atlygis, €</t>
  </si>
  <si>
    <t>Atlyginimas, €</t>
  </si>
  <si>
    <t>Mėnesinė priemoka, €</t>
  </si>
  <si>
    <t>pritaikytas NPD, €</t>
  </si>
  <si>
    <t>S1, S2</t>
  </si>
  <si>
    <t>Vidutinė avanso suma</t>
  </si>
  <si>
    <t>Pritaikyto NPD mediana</t>
  </si>
  <si>
    <t>Keli darbuotojai dirbo 18 ir daugiau dienų</t>
  </si>
  <si>
    <t>2 didžiausia GPM reikšmė</t>
  </si>
  <si>
    <t>GPM, €</t>
  </si>
  <si>
    <t>GPM1</t>
  </si>
  <si>
    <t>GPM2</t>
  </si>
  <si>
    <r>
      <t xml:space="preserve">GPM, </t>
    </r>
    <r>
      <rPr>
        <sz val="11"/>
        <color theme="1"/>
        <rFont val="Tahoma"/>
        <family val="2"/>
      </rPr>
      <t>€</t>
    </r>
  </si>
  <si>
    <t>Įrašykite kovo mėnesį</t>
  </si>
  <si>
    <t>GMP=(Priskaičiuota - NPD)*20%</t>
  </si>
  <si>
    <t>VSD (1,77%) * priskaičiuota</t>
  </si>
  <si>
    <t>3% nuo priskaičiuoto atlygio</t>
  </si>
  <si>
    <t>Darbuotojų, kurių valandinis įkainis mažiau nei 8 eurai,   sumokamų VSD  vidurkis</t>
  </si>
  <si>
    <t>Darbuotojų, kurie dirbo mažiau nei 18 dienų, išmokamų atlyginimų suma</t>
  </si>
  <si>
    <t>Apskaičiuokite S1 ir S2 langelių reikšmes nuo visų darbuotojų atlyginimo.</t>
  </si>
  <si>
    <t>tarkime, kad darote registrą kovo mėnesiui, tada rašykite visur 03</t>
  </si>
  <si>
    <t>eomonth()</t>
  </si>
  <si>
    <t>14,29% nuo priskaičiuoto atlygio atėmus nedarbingumo pašalpos sumą, PSD - 6,98%</t>
  </si>
  <si>
    <t>Sąlyginiu formatavimu išskirkite 5 mažiausias išmokėtinas sumas</t>
  </si>
  <si>
    <t>Pasirinkite šių metų kovo datą formatas: 2022/kov/31</t>
  </si>
  <si>
    <t>Neapmokestinamo minimumo skaičiavimas:</t>
  </si>
  <si>
    <t>1)</t>
  </si>
  <si>
    <t>NPD max - 460 Eur. Taikomas pajamoms iki 730 Eur.</t>
  </si>
  <si>
    <t>2)</t>
  </si>
  <si>
    <t>NPD = 460 – 0,26* (gyventojo mėnesio su darbo santykiais arba jų esmę atitinkančiais santykiais susijusios pajamos – 730)</t>
  </si>
  <si>
    <t>jei Du&lt;1678</t>
  </si>
  <si>
    <t>3)</t>
  </si>
  <si>
    <t>NPD = 400 – 0,18* (gyventojo mėnesio su darbo santykiais arba jų esmę atitinkančiais santykiais susijusios pajamos – 642)</t>
  </si>
  <si>
    <t>jei Du&gt;1678</t>
  </si>
  <si>
    <t>4)</t>
  </si>
  <si>
    <t>Jei neigiamas tai rašome 0</t>
  </si>
  <si>
    <t>paskaičiuokite pagal dešinėje duotas formules</t>
  </si>
  <si>
    <t xml:space="preserve">Jaunystės 1 </t>
  </si>
  <si>
    <t>Jaunystės 2</t>
  </si>
  <si>
    <t>Jaunystės 3</t>
  </si>
  <si>
    <t>Jaunystės 4</t>
  </si>
  <si>
    <t>Jaunystės 5</t>
  </si>
  <si>
    <t>Jaunystės 6</t>
  </si>
  <si>
    <t>Jaunystės 7</t>
  </si>
  <si>
    <t>Jaunystės 8</t>
  </si>
  <si>
    <t>Jaunystės 9</t>
  </si>
  <si>
    <t>Jaunystės 10</t>
  </si>
  <si>
    <t>Jaunystės 11</t>
  </si>
  <si>
    <t>Jaunystės 12</t>
  </si>
  <si>
    <t>Jaunystės 13</t>
  </si>
  <si>
    <t>Jaunystės 14</t>
  </si>
  <si>
    <t>Jaunystės 15</t>
  </si>
  <si>
    <t>darbo užmokestis</t>
  </si>
  <si>
    <t>Darbuotojas 1</t>
  </si>
  <si>
    <t>Darbuotojas 2</t>
  </si>
  <si>
    <t>Darbuotojas 3</t>
  </si>
  <si>
    <t>Darbuotojas 4</t>
  </si>
  <si>
    <t>Darbuotojas 5</t>
  </si>
  <si>
    <t>Darbuotojas 6</t>
  </si>
  <si>
    <t>Darbuotojas 7</t>
  </si>
  <si>
    <t>Darbuotojas 8</t>
  </si>
  <si>
    <t>Darbuotojas 9</t>
  </si>
  <si>
    <t>Darbuotojas 10</t>
  </si>
  <si>
    <t>Darbuotojas 11</t>
  </si>
  <si>
    <t>Darbuotojas 12</t>
  </si>
  <si>
    <t>Darbuotojas 13</t>
  </si>
  <si>
    <t>Darbuotojas 14</t>
  </si>
  <si>
    <t>Darbuotojas 15</t>
  </si>
  <si>
    <t>kovas</t>
  </si>
  <si>
    <t>f</t>
  </si>
  <si>
    <t>Suma</t>
  </si>
  <si>
    <t>Vidurkis</t>
  </si>
  <si>
    <t>Vykdoma iš viso</t>
  </si>
  <si>
    <t>Kiekis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</si>
</sst>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yyyy\/mmm\/dd"/>
  </numFmts>
  <fonts count="14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name val="Arial"/>
      <family val="2"/>
      <charset val="186"/>
    </font>
    <font>
      <sz val="11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name val="Calibri"/>
      <family val="2"/>
      <charset val="186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2"/>
      <charset val="186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5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6" fillId="0" borderId="0" xfId="0" applyFont="1"/>
    <xf numFmtId="2" fontId="0" fillId="0" borderId="0" xfId="1" applyNumberFormat="1" applyFont="1" applyAlignment="1">
      <alignment horizontal="left"/>
    </xf>
    <xf numFmtId="0" fontId="7" fillId="0" borderId="0" xfId="0" applyFont="1"/>
    <xf numFmtId="0" fontId="0" fillId="2" borderId="0" xfId="0" applyFill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horizontal="right"/>
    </xf>
    <xf numFmtId="9" fontId="8" fillId="0" borderId="1" xfId="2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0" fontId="8" fillId="0" borderId="1" xfId="0" applyNumberFormat="1" applyFont="1" applyBorder="1"/>
    <xf numFmtId="10" fontId="8" fillId="0" borderId="1" xfId="2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0" fontId="9" fillId="0" borderId="2" xfId="2" applyNumberFormat="1" applyFont="1" applyBorder="1"/>
    <xf numFmtId="0" fontId="10" fillId="0" borderId="1" xfId="0" applyFont="1" applyBorder="1" applyAlignment="1">
      <alignment wrapText="1"/>
    </xf>
    <xf numFmtId="0" fontId="11" fillId="0" borderId="0" xfId="0" applyFont="1"/>
    <xf numFmtId="0" fontId="0" fillId="0" borderId="0" xfId="0" applyAlignment="1">
      <alignment horizontal="right"/>
    </xf>
    <xf numFmtId="0" fontId="12" fillId="0" borderId="0" xfId="0" applyFont="1"/>
    <xf numFmtId="2" fontId="0" fillId="0" borderId="0" xfId="0" applyNumberFormat="1"/>
    <xf numFmtId="2" fontId="0" fillId="0" borderId="1" xfId="0" applyNumberFormat="1" applyBorder="1"/>
    <xf numFmtId="2" fontId="9" fillId="0" borderId="1" xfId="2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1" fontId="8" fillId="0" borderId="1" xfId="0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8" fillId="0" borderId="3" xfId="0" applyFont="1" applyBorder="1"/>
    <xf numFmtId="2" fontId="8" fillId="0" borderId="4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/>
    <xf numFmtId="1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/>
    <xf numFmtId="0" fontId="0" fillId="0" borderId="2" xfId="0" applyBorder="1"/>
    <xf numFmtId="0" fontId="8" fillId="0" borderId="2" xfId="0" applyFont="1" applyBorder="1"/>
    <xf numFmtId="2" fontId="8" fillId="0" borderId="2" xfId="0" applyNumberFormat="1" applyFont="1" applyBorder="1"/>
    <xf numFmtId="2" fontId="8" fillId="0" borderId="9" xfId="0" applyNumberFormat="1" applyFont="1" applyBorder="1"/>
  </cellXfs>
  <cellStyles count="3">
    <cellStyle name="Įprastas" xfId="0" builtinId="0"/>
    <cellStyle name="Procentai" xfId="2" builtinId="5"/>
    <cellStyle name="Valiuta" xfId="1" builtinId="4"/>
  </cellStyles>
  <dxfs count="33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/mmm\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0736785774221"/>
          <c:y val="5.6883002897661149E-2"/>
          <c:w val="0.85975717529920936"/>
          <c:h val="0.58178417336345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'Darbo užmokestis'!$V$9</c:f>
              <c:strCache>
                <c:ptCount val="1"/>
                <c:pt idx="0">
                  <c:v>Išmokėtina suma, 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t-L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'Darbo užmokestis'!$D$10:$D$24</c:f>
              <c:strCache>
                <c:ptCount val="15"/>
                <c:pt idx="0">
                  <c:v>Darbuotojas 15</c:v>
                </c:pt>
                <c:pt idx="1">
                  <c:v>Darbuotojas 7</c:v>
                </c:pt>
                <c:pt idx="2">
                  <c:v>Darbuotojas 9</c:v>
                </c:pt>
                <c:pt idx="3">
                  <c:v>Darbuotojas 14</c:v>
                </c:pt>
                <c:pt idx="4">
                  <c:v>Darbuotojas 1</c:v>
                </c:pt>
                <c:pt idx="5">
                  <c:v>Darbuotojas 8</c:v>
                </c:pt>
                <c:pt idx="6">
                  <c:v>Darbuotojas 2</c:v>
                </c:pt>
                <c:pt idx="7">
                  <c:v>Darbuotojas 6</c:v>
                </c:pt>
                <c:pt idx="8">
                  <c:v>Darbuotojas 3</c:v>
                </c:pt>
                <c:pt idx="9">
                  <c:v>Darbuotojas 4</c:v>
                </c:pt>
                <c:pt idx="10">
                  <c:v>Darbuotojas 5</c:v>
                </c:pt>
                <c:pt idx="11">
                  <c:v>Darbuotojas 10</c:v>
                </c:pt>
                <c:pt idx="12">
                  <c:v>Darbuotojas 11</c:v>
                </c:pt>
                <c:pt idx="13">
                  <c:v>Darbuotojas 12</c:v>
                </c:pt>
                <c:pt idx="14">
                  <c:v>Darbuotojas 13</c:v>
                </c:pt>
              </c:strCache>
            </c:strRef>
          </c:cat>
          <c:val>
            <c:numRef>
              <c:f>'Darbo užmokestis'!$V$10:$V$24</c:f>
              <c:numCache>
                <c:formatCode>0.00</c:formatCode>
                <c:ptCount val="15"/>
                <c:pt idx="0">
                  <c:v>1830.3090909090909</c:v>
                </c:pt>
                <c:pt idx="1">
                  <c:v>898.32034632034629</c:v>
                </c:pt>
                <c:pt idx="2">
                  <c:v>717.14474025974027</c:v>
                </c:pt>
                <c:pt idx="3">
                  <c:v>877.92467424242432</c:v>
                </c:pt>
                <c:pt idx="4">
                  <c:v>631.05375714285719</c:v>
                </c:pt>
                <c:pt idx="5">
                  <c:v>500.47307142857153</c:v>
                </c:pt>
                <c:pt idx="6">
                  <c:v>344.16494805194804</c:v>
                </c:pt>
                <c:pt idx="7">
                  <c:v>462.80083116883111</c:v>
                </c:pt>
                <c:pt idx="8">
                  <c:v>623.9559999999999</c:v>
                </c:pt>
                <c:pt idx="9">
                  <c:v>402.95899999999995</c:v>
                </c:pt>
                <c:pt idx="10">
                  <c:v>623.9559999999999</c:v>
                </c:pt>
                <c:pt idx="11">
                  <c:v>309.40909090909088</c:v>
                </c:pt>
                <c:pt idx="12">
                  <c:v>401.27199999999993</c:v>
                </c:pt>
                <c:pt idx="13">
                  <c:v>383.63709090909094</c:v>
                </c:pt>
                <c:pt idx="14">
                  <c:v>270.26754545454537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7-45B8-AB62-CF70F4B00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9824639"/>
        <c:axId val="1999826559"/>
      </c:barChart>
      <c:catAx>
        <c:axId val="199982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darbuotojai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99826559"/>
        <c:crosses val="autoZero"/>
        <c:auto val="1"/>
        <c:lblAlgn val="ctr"/>
        <c:lblOffset val="100"/>
        <c:noMultiLvlLbl val="0"/>
      </c:catAx>
      <c:valAx>
        <c:axId val="199982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išmokėtina</a:t>
                </a:r>
                <a:r>
                  <a:rPr lang="lt-LT" baseline="0"/>
                  <a:t>  suma ,€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99982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99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'Darbo užmokestis'!$D$14</c:f>
              <c:strCache>
                <c:ptCount val="1"/>
                <c:pt idx="0">
                  <c:v>Darbuotojas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('Darbo užmokestis'!$P$9:$S$9,'Darbo užmokestis'!$V$9)</c:f>
              <c:strCache>
                <c:ptCount val="5"/>
                <c:pt idx="0">
                  <c:v>pritaikytas NPD, €</c:v>
                </c:pt>
                <c:pt idx="1">
                  <c:v>GPM, €</c:v>
                </c:pt>
                <c:pt idx="2">
                  <c:v>VSD įmoka, €</c:v>
                </c:pt>
                <c:pt idx="3">
                  <c:v>PSD įmoka,  €</c:v>
                </c:pt>
                <c:pt idx="4">
                  <c:v>Išmokėtina suma, €</c:v>
                </c:pt>
              </c:strCache>
            </c:strRef>
          </c:cat>
          <c:val>
            <c:numRef>
              <c:f>('Darbo užmokestis'!$P$14:$S$14,'Darbo užmokestis'!$V$14)</c:f>
              <c:numCache>
                <c:formatCode>0.00</c:formatCode>
                <c:ptCount val="5"/>
                <c:pt idx="0">
                  <c:v>135.9347619047619</c:v>
                </c:pt>
                <c:pt idx="1">
                  <c:v>222.09400000000002</c:v>
                </c:pt>
                <c:pt idx="2">
                  <c:v>170.32319047619049</c:v>
                </c:pt>
                <c:pt idx="3">
                  <c:v>86.999052380952378</c:v>
                </c:pt>
                <c:pt idx="4">
                  <c:v>631.05375714285719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E-48EB-A252-D16812F3D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16807</xdr:colOff>
      <xdr:row>25</xdr:row>
      <xdr:rowOff>101972</xdr:rowOff>
    </xdr:from>
    <xdr:to>
      <xdr:col>5</xdr:col>
      <xdr:colOff>414617</xdr:colOff>
      <xdr:row>40</xdr:row>
      <xdr:rowOff>33618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45B9F6A6-536A-2CC6-0B30-49670E0D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358587</xdr:colOff>
      <xdr:row>25</xdr:row>
      <xdr:rowOff>180414</xdr:rowOff>
    </xdr:from>
    <xdr:to>
      <xdr:col>9</xdr:col>
      <xdr:colOff>336176</xdr:colOff>
      <xdr:row>40</xdr:row>
      <xdr:rowOff>66114</xdr:rowOff>
    </xdr:to>
    <xdr:graphicFrame macro="">
      <xdr:nvGraphicFramePr>
        <xdr:cNvPr id="5" name="Diagrama 4">
          <a:extLst>
            <a:ext uri="{FF2B5EF4-FFF2-40B4-BE49-F238E27FC236}">
              <a16:creationId xmlns:a16="http://schemas.microsoft.com/office/drawing/2014/main" id="{A15AAF0B-6C98-1BFB-5A14-064FD4EB1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CB31D-DC95-4F78-ADD5-D3ACEE2396F3}" name="Lentelė1" displayName="Lentelė1" ref="A9:Y24" totalsRowShown="0" headerRowDxfId="3" dataDxfId="4" headerRowBorderDxfId="31" tableBorderDxfId="32" totalsRowBorderDxfId="30">
  <autoFilter ref="A9:Y24" xr:uid="{211CB31D-DC95-4F78-ADD5-D3ACEE2396F3}"/>
  <sortState xmlns:xlrd2="http://schemas.microsoft.com/office/spreadsheetml/2017/richdata2" ref="A10:Y24">
    <sortCondition descending="1" ref="E9:E24"/>
  </sortState>
  <tableColumns count="25">
    <tableColumn id="1" xr3:uid="{3F53CF6F-3E7E-4696-BB4D-D6505A4A0ED0}" name="Registras" dataDxfId="29"/>
    <tableColumn id="2" xr3:uid="{B3A11C86-1E2A-4762-ACFB-0FCEB6D047CB}" name="Op. Nr." dataDxfId="28">
      <calculatedColumnFormula>"03"</calculatedColumnFormula>
    </tableColumn>
    <tableColumn id="3" xr3:uid="{E4BBF945-43FD-4625-8359-FC45F3823307}" name="Skaičiavimo data" dataDxfId="27">
      <calculatedColumnFormula>EOMONTH(DATE(2026,3,1),0)</calculatedColumnFormula>
    </tableColumn>
    <tableColumn id="4" xr3:uid="{FDA3C06C-E8B9-4E53-BDD9-63B0D5143373}" name="Pavardė, vardas" dataDxfId="26">
      <calculatedColumnFormula>Darbuotojai!B6</calculatedColumnFormula>
    </tableColumn>
    <tableColumn id="5" xr3:uid="{CE2DBA1B-2BF5-41E7-9F26-2932066C88FA}" name="Pareiginis atlyginimas, €" dataDxfId="25">
      <calculatedColumnFormula>VLOOKUP(D10,Darbuotojai!$B$6:$D$20,3,FALSE)</calculatedColumnFormula>
    </tableColumn>
    <tableColumn id="6" xr3:uid="{B47F29B5-E10B-410A-8F52-2B8B13B0B993}" name="Valandinis tarifinis atlygis, €" dataDxfId="24">
      <calculatedColumnFormula>VLOOKUP(D10,Darbuotojai!$B$6:$E$20,4,FALSE)</calculatedColumnFormula>
    </tableColumn>
    <tableColumn id="7" xr3:uid="{8864E9AB-5F6B-46B6-BCDA-9172E7AE5D5E}" name="Nustatytas darbo dienų skaičius " dataDxfId="23">
      <calculatedColumnFormula>NETWORKDAYS(DATE(2026,3,1),DATE(2026,3,31),DATE(2026,3,11))</calculatedColumnFormula>
    </tableColumn>
    <tableColumn id="8" xr3:uid="{298E18DB-A7A3-4CE4-9AA6-0CC2F16E2BA2}" name="Faktiškai dirbta, d." dataDxfId="22">
      <calculatedColumnFormula>RANDBETWEEN(15,G10)</calculatedColumnFormula>
    </tableColumn>
    <tableColumn id="9" xr3:uid="{0EE3E42A-7FF6-4E6D-BE48-F40B38FD294B}" name="Faktiškai dirbta, val." dataDxfId="21">
      <calculatedColumnFormula>H10*8</calculatedColumnFormula>
    </tableColumn>
    <tableColumn id="10" xr3:uid="{8254A986-7F18-4AD2-BB06-177E5B932A18}" name="Atlyginimas, €" dataDxfId="20">
      <calculatedColumnFormula>E10*'Darbo užmokestis'!H10/'Darbo užmokestis'!G10</calculatedColumnFormula>
    </tableColumn>
    <tableColumn id="11" xr3:uid="{7A3EFA2E-1B9C-4BDE-9727-1852C1563DEC}" name="Mėnesinė priemoka, €" dataDxfId="19">
      <calculatedColumnFormula>IF(G10=H10,50,0)</calculatedColumnFormula>
    </tableColumn>
    <tableColumn id="12" xr3:uid="{777B5159-368F-4DEC-9370-C1DDE5E143CC}" name="Eilinės atostogos,  €" dataDxfId="18">
      <calculatedColumnFormula>IF(G10-H10&gt;4,8*F10*(G10-H10),0)</calculatedColumnFormula>
    </tableColumn>
    <tableColumn id="13" xr3:uid="{F4444BEA-9155-431E-9AF2-8232D17718A3}" name="Kompensacija už nepanaudotas atostogas,  €" dataDxfId="17"/>
    <tableColumn id="14" xr3:uid="{5FDECDB9-5EBC-4075-836D-A4A6B2626574}" name="Nedarbingumo pašalpa darbdavio lėšomis,  €" dataDxfId="16">
      <calculatedColumnFormula>IF(G10-H10&lt;=4,F10*8*RANDBETWEEN(1,2),0)</calculatedColumnFormula>
    </tableColumn>
    <tableColumn id="15" xr3:uid="{0EBF9710-37AA-4AFA-8C22-AABE524B8353}" name="Priskaičiuota iš viso,  €" dataDxfId="15">
      <calculatedColumnFormula>J10+K10+L10+M10+N10</calculatedColumnFormula>
    </tableColumn>
    <tableColumn id="16" xr3:uid="{A3FC9399-4548-4651-A220-6DD813C8C719}" name="pritaikytas NPD, €" dataDxfId="14">
      <calculatedColumnFormula>IF(IF(O10&lt;=730,460,IF(O10&lt;1678,460-0.26*O10,IF(O10&gt;1678,460-0.18*O10)))&gt;0,IF(O10&lt;=730,460,IF(O10&lt;1678,460-0.26*O10,IF(O10&gt;1678,460-0.18*O10))),0)</calculatedColumnFormula>
    </tableColumn>
    <tableColumn id="17" xr3:uid="{A376B6A5-17E6-401F-94BD-756497FD2BB3}" name="GPM, €" dataDxfId="13">
      <calculatedColumnFormula>(O10-P10)*20%</calculatedColumnFormula>
    </tableColumn>
    <tableColumn id="18" xr3:uid="{E6FAE328-5AAD-4FB8-BFFD-08B5915A7AFD}" name="VSD įmoka, €" dataDxfId="12">
      <calculatedColumnFormula>(O10-N10)*14.29%</calculatedColumnFormula>
    </tableColumn>
    <tableColumn id="19" xr3:uid="{6B39D4E8-ED47-4BA1-8903-01DB934B8D5A}" name="PSD įmoka,  €" dataDxfId="11">
      <calculatedColumnFormula>O10*6.98%</calculatedColumnFormula>
    </tableColumn>
    <tableColumn id="20" xr3:uid="{CE9ED9C5-A4A9-458F-8BB6-05A73C5C0904}" name="Papildomas pensijinis kaupimas " dataDxfId="10">
      <calculatedColumnFormula>J10*3%</calculatedColumnFormula>
    </tableColumn>
    <tableColumn id="21" xr3:uid="{3476A4AB-EDFC-4D5E-947F-8F552F641F1D}" name="Išskaičiuota iš viso, €" dataDxfId="9">
      <calculatedColumnFormula>SUM(P10:S10)</calculatedColumnFormula>
    </tableColumn>
    <tableColumn id="22" xr3:uid="{20AB74A3-714F-43E8-87B8-1B64768557BD}" name="Išmokėtina suma, €" dataDxfId="8">
      <calculatedColumnFormula>O10-U10</calculatedColumnFormula>
    </tableColumn>
    <tableColumn id="23" xr3:uid="{366BD21C-470C-4CE7-8CED-F4888F972899}" name="Darbdavio VSD įmokos, €" dataDxfId="7">
      <calculatedColumnFormula>O10*1.77%</calculatedColumnFormula>
    </tableColumn>
    <tableColumn id="24" xr3:uid="{7B7535F7-A014-4870-A6C3-55E08286C29D}" name="Avansas, €" dataDxfId="6">
      <calculatedColumnFormula>VLOOKUP(D10,Darbuotojai!B6:F20,5,FALSE)</calculatedColumnFormula>
    </tableColumn>
    <tableColumn id="25" xr3:uid="{9D4C3527-0178-4020-827D-FDA1893E22B7}" name="Išmokėtina suma po avanso, €" dataDxfId="5">
      <calculatedColumnFormula>V10+X10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23" workbookViewId="0">
      <selection activeCell="B49" sqref="B49"/>
    </sheetView>
  </sheetViews>
  <sheetFormatPr defaultRowHeight="15" x14ac:dyDescent="0.25"/>
  <cols>
    <col min="1" max="1" width="4.85546875" customWidth="1"/>
    <col min="2" max="2" width="34.5703125" customWidth="1"/>
    <col min="3" max="3" width="115.7109375" customWidth="1"/>
    <col min="4" max="4" width="16.140625" customWidth="1"/>
  </cols>
  <sheetData>
    <row r="1" spans="1:4" ht="18.75" x14ac:dyDescent="0.3">
      <c r="A1" s="3" t="s">
        <v>33</v>
      </c>
    </row>
    <row r="3" spans="1:4" x14ac:dyDescent="0.25">
      <c r="A3" s="2" t="s">
        <v>34</v>
      </c>
    </row>
    <row r="4" spans="1:4" x14ac:dyDescent="0.25">
      <c r="B4" s="17" t="s">
        <v>35</v>
      </c>
      <c r="C4" s="17" t="s">
        <v>36</v>
      </c>
      <c r="D4" s="17" t="s">
        <v>82</v>
      </c>
    </row>
    <row r="5" spans="1:4" ht="15" customHeight="1" x14ac:dyDescent="0.25">
      <c r="A5">
        <v>1</v>
      </c>
      <c r="B5" s="8" t="s">
        <v>0</v>
      </c>
      <c r="C5" t="s">
        <v>37</v>
      </c>
    </row>
    <row r="6" spans="1:4" ht="15" customHeight="1" x14ac:dyDescent="0.25">
      <c r="A6">
        <v>2</v>
      </c>
      <c r="B6" s="8" t="s">
        <v>8</v>
      </c>
      <c r="C6" t="s">
        <v>38</v>
      </c>
    </row>
    <row r="7" spans="1:4" ht="15" customHeight="1" x14ac:dyDescent="0.25">
      <c r="A7">
        <v>3</v>
      </c>
      <c r="B7" s="8" t="s">
        <v>5</v>
      </c>
      <c r="C7" t="s">
        <v>44</v>
      </c>
      <c r="D7" t="s">
        <v>83</v>
      </c>
    </row>
    <row r="8" spans="1:4" ht="15" customHeight="1" x14ac:dyDescent="0.25">
      <c r="A8">
        <v>4</v>
      </c>
      <c r="B8" s="8" t="s">
        <v>17</v>
      </c>
      <c r="C8" t="s">
        <v>54</v>
      </c>
      <c r="D8" t="s">
        <v>86</v>
      </c>
    </row>
    <row r="9" spans="1:4" ht="15" customHeight="1" x14ac:dyDescent="0.25">
      <c r="A9">
        <v>5</v>
      </c>
      <c r="B9" s="8" t="s">
        <v>9</v>
      </c>
      <c r="C9" t="s">
        <v>48</v>
      </c>
    </row>
    <row r="10" spans="1:4" ht="15" customHeight="1" x14ac:dyDescent="0.25">
      <c r="A10">
        <v>6</v>
      </c>
      <c r="B10" s="8" t="s">
        <v>10</v>
      </c>
      <c r="C10" t="s">
        <v>92</v>
      </c>
      <c r="D10" t="s">
        <v>85</v>
      </c>
    </row>
    <row r="11" spans="1:4" ht="15" customHeight="1" x14ac:dyDescent="0.25">
      <c r="A11">
        <v>7</v>
      </c>
      <c r="B11" s="8" t="s">
        <v>11</v>
      </c>
      <c r="C11" t="s">
        <v>50</v>
      </c>
    </row>
    <row r="12" spans="1:4" ht="15" customHeight="1" x14ac:dyDescent="0.25">
      <c r="A12">
        <v>8</v>
      </c>
      <c r="B12" s="8" t="s">
        <v>12</v>
      </c>
      <c r="C12" t="s">
        <v>93</v>
      </c>
      <c r="D12" t="s">
        <v>84</v>
      </c>
    </row>
    <row r="13" spans="1:4" ht="15" customHeight="1" x14ac:dyDescent="0.25">
      <c r="A13">
        <v>9</v>
      </c>
      <c r="B13" s="8" t="s">
        <v>13</v>
      </c>
      <c r="C13" t="s">
        <v>51</v>
      </c>
    </row>
    <row r="14" spans="1:4" ht="15" customHeight="1" x14ac:dyDescent="0.25"/>
    <row r="16" spans="1:4" x14ac:dyDescent="0.25">
      <c r="A16" s="2" t="s">
        <v>52</v>
      </c>
    </row>
    <row r="17" spans="1:4" x14ac:dyDescent="0.25">
      <c r="B17" t="s">
        <v>35</v>
      </c>
      <c r="C17" t="s">
        <v>36</v>
      </c>
    </row>
    <row r="18" spans="1:4" x14ac:dyDescent="0.25">
      <c r="A18">
        <v>1</v>
      </c>
      <c r="B18" s="10" t="s">
        <v>74</v>
      </c>
      <c r="C18" t="s">
        <v>114</v>
      </c>
    </row>
    <row r="19" spans="1:4" x14ac:dyDescent="0.25">
      <c r="A19">
        <v>2</v>
      </c>
      <c r="B19" s="8" t="s">
        <v>14</v>
      </c>
      <c r="C19" t="s">
        <v>6</v>
      </c>
    </row>
    <row r="20" spans="1:4" x14ac:dyDescent="0.25">
      <c r="A20">
        <v>3</v>
      </c>
      <c r="B20" s="8" t="s">
        <v>15</v>
      </c>
      <c r="C20" t="s">
        <v>121</v>
      </c>
    </row>
    <row r="21" spans="1:4" x14ac:dyDescent="0.25">
      <c r="A21">
        <v>4</v>
      </c>
      <c r="B21" s="8" t="s">
        <v>16</v>
      </c>
      <c r="C21" t="s">
        <v>125</v>
      </c>
      <c r="D21" t="s">
        <v>122</v>
      </c>
    </row>
    <row r="22" spans="1:4" x14ac:dyDescent="0.25">
      <c r="A22">
        <v>5</v>
      </c>
      <c r="B22" s="8" t="s">
        <v>8</v>
      </c>
      <c r="C22" t="s">
        <v>53</v>
      </c>
    </row>
    <row r="23" spans="1:4" ht="17.25" customHeight="1" x14ac:dyDescent="0.25">
      <c r="A23">
        <v>6</v>
      </c>
      <c r="B23" s="8" t="s">
        <v>17</v>
      </c>
      <c r="C23" t="s">
        <v>55</v>
      </c>
      <c r="D23" t="s">
        <v>86</v>
      </c>
    </row>
    <row r="24" spans="1:4" ht="16.5" customHeight="1" x14ac:dyDescent="0.25">
      <c r="A24">
        <v>7</v>
      </c>
      <c r="B24" s="8" t="s">
        <v>9</v>
      </c>
      <c r="C24" t="s">
        <v>56</v>
      </c>
      <c r="D24" t="s">
        <v>86</v>
      </c>
    </row>
    <row r="25" spans="1:4" x14ac:dyDescent="0.25">
      <c r="A25">
        <v>8</v>
      </c>
      <c r="B25" s="8" t="s">
        <v>18</v>
      </c>
      <c r="C25" t="s">
        <v>68</v>
      </c>
    </row>
    <row r="26" spans="1:4" x14ac:dyDescent="0.25">
      <c r="A26">
        <v>9</v>
      </c>
      <c r="B26" s="8" t="s">
        <v>19</v>
      </c>
      <c r="C26" t="s">
        <v>61</v>
      </c>
      <c r="D26" t="s">
        <v>87</v>
      </c>
    </row>
    <row r="27" spans="1:4" x14ac:dyDescent="0.25">
      <c r="A27">
        <v>10</v>
      </c>
      <c r="B27" s="8" t="s">
        <v>20</v>
      </c>
      <c r="C27" t="s">
        <v>62</v>
      </c>
    </row>
    <row r="28" spans="1:4" x14ac:dyDescent="0.25">
      <c r="A28">
        <v>11</v>
      </c>
      <c r="B28" s="8" t="s">
        <v>21</v>
      </c>
      <c r="C28" t="s">
        <v>170</v>
      </c>
      <c r="D28" t="s">
        <v>88</v>
      </c>
    </row>
    <row r="29" spans="1:4" x14ac:dyDescent="0.25">
      <c r="A29">
        <v>12</v>
      </c>
      <c r="B29" s="8" t="s">
        <v>22</v>
      </c>
      <c r="C29" t="s">
        <v>63</v>
      </c>
      <c r="D29" t="s">
        <v>89</v>
      </c>
    </row>
    <row r="30" spans="1:4" ht="16.5" customHeight="1" x14ac:dyDescent="0.25">
      <c r="A30">
        <v>13</v>
      </c>
      <c r="B30" s="8" t="s">
        <v>23</v>
      </c>
      <c r="C30" t="s">
        <v>64</v>
      </c>
      <c r="D30" t="s">
        <v>89</v>
      </c>
    </row>
    <row r="31" spans="1:4" ht="30" x14ac:dyDescent="0.25">
      <c r="A31">
        <v>14</v>
      </c>
      <c r="B31" s="8" t="s">
        <v>24</v>
      </c>
      <c r="C31" s="15">
        <v>0</v>
      </c>
    </row>
    <row r="32" spans="1:4" ht="30" x14ac:dyDescent="0.25">
      <c r="A32">
        <v>15</v>
      </c>
      <c r="B32" s="8" t="s">
        <v>25</v>
      </c>
      <c r="C32" t="s">
        <v>69</v>
      </c>
      <c r="D32" t="s">
        <v>89</v>
      </c>
    </row>
    <row r="33" spans="1:18" x14ac:dyDescent="0.25">
      <c r="A33">
        <v>16</v>
      </c>
      <c r="B33" s="8" t="s">
        <v>26</v>
      </c>
      <c r="C33" t="s">
        <v>65</v>
      </c>
    </row>
    <row r="34" spans="1:18" ht="16.5" customHeight="1" x14ac:dyDescent="0.25">
      <c r="A34">
        <v>17</v>
      </c>
      <c r="B34" s="8" t="s">
        <v>27</v>
      </c>
      <c r="C34" s="5" t="s">
        <v>137</v>
      </c>
      <c r="D34" s="18"/>
      <c r="H34" s="29" t="s">
        <v>126</v>
      </c>
    </row>
    <row r="35" spans="1:18" ht="15.75" x14ac:dyDescent="0.25">
      <c r="A35">
        <v>18</v>
      </c>
      <c r="B35" s="8" t="s">
        <v>113</v>
      </c>
      <c r="C35" t="s">
        <v>115</v>
      </c>
      <c r="D35" t="s">
        <v>91</v>
      </c>
      <c r="G35" s="30" t="s">
        <v>127</v>
      </c>
      <c r="H35" t="s">
        <v>128</v>
      </c>
      <c r="M35" s="31"/>
    </row>
    <row r="36" spans="1:18" ht="17.25" customHeight="1" x14ac:dyDescent="0.25">
      <c r="A36">
        <v>19</v>
      </c>
      <c r="B36" s="8" t="s">
        <v>94</v>
      </c>
      <c r="C36" t="s">
        <v>123</v>
      </c>
      <c r="G36" s="30" t="s">
        <v>129</v>
      </c>
      <c r="H36" t="s">
        <v>130</v>
      </c>
      <c r="R36" t="s">
        <v>131</v>
      </c>
    </row>
    <row r="37" spans="1:18" x14ac:dyDescent="0.25">
      <c r="A37">
        <v>20</v>
      </c>
      <c r="B37" s="8" t="s">
        <v>47</v>
      </c>
      <c r="C37" t="s">
        <v>117</v>
      </c>
      <c r="G37" s="30" t="s">
        <v>132</v>
      </c>
      <c r="H37" t="s">
        <v>133</v>
      </c>
      <c r="R37" t="s">
        <v>134</v>
      </c>
    </row>
    <row r="38" spans="1:18" x14ac:dyDescent="0.25">
      <c r="A38">
        <v>21</v>
      </c>
      <c r="B38" s="8" t="s">
        <v>28</v>
      </c>
      <c r="C38" t="s">
        <v>58</v>
      </c>
      <c r="G38" s="30" t="s">
        <v>135</v>
      </c>
      <c r="H38" t="s">
        <v>136</v>
      </c>
    </row>
    <row r="39" spans="1:18" x14ac:dyDescent="0.25">
      <c r="A39">
        <v>22</v>
      </c>
      <c r="B39" s="8" t="s">
        <v>29</v>
      </c>
      <c r="C39" t="s">
        <v>57</v>
      </c>
    </row>
    <row r="40" spans="1:18" x14ac:dyDescent="0.25">
      <c r="A40">
        <v>23</v>
      </c>
      <c r="B40" s="8" t="s">
        <v>30</v>
      </c>
      <c r="C40" t="s">
        <v>116</v>
      </c>
    </row>
    <row r="41" spans="1:18" ht="15.75" customHeight="1" x14ac:dyDescent="0.25">
      <c r="A41">
        <v>24</v>
      </c>
      <c r="B41" s="8" t="s">
        <v>31</v>
      </c>
      <c r="C41" t="s">
        <v>59</v>
      </c>
      <c r="D41" t="s">
        <v>86</v>
      </c>
    </row>
    <row r="42" spans="1:18" x14ac:dyDescent="0.25">
      <c r="A42">
        <v>25</v>
      </c>
      <c r="B42" s="8" t="s">
        <v>32</v>
      </c>
      <c r="C42" t="s">
        <v>60</v>
      </c>
    </row>
    <row r="43" spans="1:18" x14ac:dyDescent="0.25">
      <c r="A43">
        <v>26</v>
      </c>
      <c r="B43" s="8" t="s">
        <v>4</v>
      </c>
      <c r="C43" t="s">
        <v>67</v>
      </c>
    </row>
    <row r="44" spans="1:18" x14ac:dyDescent="0.25">
      <c r="A44">
        <v>27</v>
      </c>
      <c r="B44" s="8" t="s">
        <v>105</v>
      </c>
      <c r="C44" t="s">
        <v>120</v>
      </c>
    </row>
    <row r="45" spans="1:18" x14ac:dyDescent="0.25">
      <c r="A45">
        <v>28</v>
      </c>
      <c r="B45" s="8" t="s">
        <v>77</v>
      </c>
      <c r="C45" t="s">
        <v>78</v>
      </c>
    </row>
    <row r="47" spans="1:18" ht="16.5" customHeight="1" x14ac:dyDescent="0.25">
      <c r="A47">
        <v>28</v>
      </c>
      <c r="B47" s="38" t="s">
        <v>79</v>
      </c>
      <c r="C47" s="38"/>
    </row>
    <row r="48" spans="1:18" ht="15" customHeight="1" x14ac:dyDescent="0.25">
      <c r="A48">
        <v>29</v>
      </c>
      <c r="B48" s="39" t="s">
        <v>124</v>
      </c>
      <c r="C48" s="39"/>
    </row>
    <row r="49" spans="1:2" x14ac:dyDescent="0.25">
      <c r="A49">
        <v>30</v>
      </c>
      <c r="B49" t="s">
        <v>81</v>
      </c>
    </row>
    <row r="50" spans="1:2" x14ac:dyDescent="0.25">
      <c r="A50">
        <v>31</v>
      </c>
      <c r="B50" t="s">
        <v>80</v>
      </c>
    </row>
    <row r="51" spans="1:2" x14ac:dyDescent="0.25">
      <c r="A51">
        <v>32</v>
      </c>
      <c r="B51" t="s">
        <v>90</v>
      </c>
    </row>
  </sheetData>
  <mergeCells count="2">
    <mergeCell ref="B47:C47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B4" sqref="B4"/>
    </sheetView>
  </sheetViews>
  <sheetFormatPr defaultRowHeight="15" x14ac:dyDescent="0.25"/>
  <cols>
    <col min="1" max="1" width="4.5703125" customWidth="1"/>
    <col min="2" max="2" width="20.85546875" customWidth="1"/>
    <col min="3" max="3" width="15.5703125" customWidth="1"/>
    <col min="4" max="4" width="11.7109375" customWidth="1"/>
  </cols>
  <sheetData>
    <row r="3" spans="1:4" s="5" customFormat="1" ht="31.5" customHeight="1" x14ac:dyDescent="0.25">
      <c r="A3" s="9" t="s">
        <v>0</v>
      </c>
      <c r="B3" s="8" t="s">
        <v>39</v>
      </c>
      <c r="C3" s="8" t="s">
        <v>17</v>
      </c>
      <c r="D3" s="11" t="s">
        <v>42</v>
      </c>
    </row>
    <row r="4" spans="1:4" x14ac:dyDescent="0.25">
      <c r="A4" s="10">
        <v>1</v>
      </c>
      <c r="B4" s="1" t="s">
        <v>3</v>
      </c>
      <c r="C4" s="10">
        <v>2800</v>
      </c>
      <c r="D4" s="10">
        <v>1</v>
      </c>
    </row>
    <row r="5" spans="1:4" x14ac:dyDescent="0.25">
      <c r="A5" s="10">
        <v>2</v>
      </c>
      <c r="B5" s="1" t="s">
        <v>40</v>
      </c>
      <c r="C5" s="10">
        <v>1600</v>
      </c>
      <c r="D5" s="10">
        <v>2</v>
      </c>
    </row>
    <row r="6" spans="1:4" x14ac:dyDescent="0.25">
      <c r="A6" s="10">
        <v>3</v>
      </c>
      <c r="B6" s="1" t="s">
        <v>2</v>
      </c>
      <c r="C6" s="10">
        <v>1505</v>
      </c>
      <c r="D6" s="10">
        <v>1</v>
      </c>
    </row>
    <row r="7" spans="1:4" x14ac:dyDescent="0.25">
      <c r="A7" s="10">
        <v>4</v>
      </c>
      <c r="B7" s="1" t="s">
        <v>1</v>
      </c>
      <c r="C7" s="10">
        <v>1199</v>
      </c>
      <c r="D7" s="10">
        <v>2</v>
      </c>
    </row>
    <row r="8" spans="1:4" x14ac:dyDescent="0.25">
      <c r="A8" s="10">
        <v>5</v>
      </c>
      <c r="B8" s="1" t="s">
        <v>41</v>
      </c>
      <c r="C8" s="10">
        <v>1090</v>
      </c>
      <c r="D8" s="10">
        <v>2</v>
      </c>
    </row>
    <row r="9" spans="1:4" x14ac:dyDescent="0.25">
      <c r="A9" s="10">
        <v>6</v>
      </c>
      <c r="B9" s="1" t="s">
        <v>43</v>
      </c>
      <c r="C9" s="10">
        <v>980</v>
      </c>
      <c r="D9" s="10">
        <v>7</v>
      </c>
    </row>
    <row r="10" spans="1:4" x14ac:dyDescent="0.25">
      <c r="C1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workbookViewId="0">
      <selection activeCell="M18" sqref="M18"/>
    </sheetView>
  </sheetViews>
  <sheetFormatPr defaultRowHeight="15" x14ac:dyDescent="0.25"/>
  <cols>
    <col min="1" max="1" width="5.7109375" customWidth="1"/>
    <col min="2" max="3" width="20.5703125" customWidth="1"/>
    <col min="4" max="4" width="15.28515625" customWidth="1"/>
    <col min="5" max="5" width="13" customWidth="1"/>
    <col min="6" max="6" width="12.28515625" customWidth="1"/>
    <col min="7" max="7" width="18" customWidth="1"/>
    <col min="8" max="8" width="24.5703125" customWidth="1"/>
    <col min="9" max="9" width="23.5703125" customWidth="1"/>
  </cols>
  <sheetData>
    <row r="1" spans="1:13" ht="39" customHeight="1" x14ac:dyDescent="0.25">
      <c r="A1" s="4" t="s">
        <v>7</v>
      </c>
    </row>
    <row r="5" spans="1:13" s="6" customFormat="1" ht="49.5" customHeight="1" x14ac:dyDescent="0.25">
      <c r="A5" s="8" t="s">
        <v>0</v>
      </c>
      <c r="B5" s="8" t="s">
        <v>8</v>
      </c>
      <c r="C5" s="8" t="s">
        <v>5</v>
      </c>
      <c r="D5" s="8" t="s">
        <v>17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13" x14ac:dyDescent="0.25">
      <c r="A6" s="1">
        <v>1</v>
      </c>
      <c r="B6" s="1" t="s">
        <v>154</v>
      </c>
      <c r="C6" s="1" t="str">
        <f>Pareigybės!B7</f>
        <v>Vadybininkas</v>
      </c>
      <c r="D6" s="1">
        <f>VLOOKUP(C6,Pareigybės!$B$4:$C$9,2,FALSE)</f>
        <v>1199</v>
      </c>
      <c r="E6" s="33">
        <f>D6/22/8</f>
        <v>6.8125</v>
      </c>
      <c r="F6" s="33">
        <f ca="1">CHOOSE(RANDBETWEEN(1,2),150,200)</f>
        <v>150</v>
      </c>
      <c r="G6" s="10" t="s">
        <v>49</v>
      </c>
      <c r="H6" s="1" t="str">
        <f ca="1">CONCATENATE("+",3706,RANDBETWEEN(1000000,9999999))</f>
        <v>+37067293265</v>
      </c>
      <c r="I6" s="1" t="s">
        <v>138</v>
      </c>
    </row>
    <row r="7" spans="1:13" x14ac:dyDescent="0.25">
      <c r="A7" s="1">
        <v>2</v>
      </c>
      <c r="B7" s="1" t="s">
        <v>155</v>
      </c>
      <c r="C7" s="1" t="str">
        <f>Pareigybės!B8</f>
        <v>Sandėlininkas</v>
      </c>
      <c r="D7" s="1">
        <f>VLOOKUP(C7,Pareigybės!$B$4:$C$9,2,FALSE)</f>
        <v>1090</v>
      </c>
      <c r="E7" s="33">
        <f t="shared" ref="E7:E20" si="0">D7/22/8</f>
        <v>6.1931818181818183</v>
      </c>
      <c r="F7" s="33">
        <f t="shared" ref="F7:F20" ca="1" si="1">CHOOSE(RANDBETWEEN(1,2),150,200)</f>
        <v>200</v>
      </c>
      <c r="G7" s="10" t="s">
        <v>49</v>
      </c>
      <c r="H7" s="1" t="str">
        <f t="shared" ref="H7:H20" ca="1" si="2">CONCATENATE("+",3706,RANDBETWEEN(1000000,9999999))</f>
        <v>+37068721163</v>
      </c>
      <c r="I7" s="1" t="s">
        <v>139</v>
      </c>
    </row>
    <row r="8" spans="1:13" x14ac:dyDescent="0.25">
      <c r="A8" s="1">
        <v>3</v>
      </c>
      <c r="B8" s="1" t="s">
        <v>156</v>
      </c>
      <c r="C8" s="1" t="str">
        <f>Pareigybės!$B$9</f>
        <v>Gamybos darbuotojas</v>
      </c>
      <c r="D8" s="1">
        <f>VLOOKUP(C8,Pareigybės!$B$4:$C$9,2,FALSE)</f>
        <v>980</v>
      </c>
      <c r="E8" s="33">
        <f t="shared" si="0"/>
        <v>5.5681818181818183</v>
      </c>
      <c r="F8" s="33">
        <f t="shared" ca="1" si="1"/>
        <v>200</v>
      </c>
      <c r="G8" s="10" t="s">
        <v>49</v>
      </c>
      <c r="H8" s="1" t="str">
        <f t="shared" ca="1" si="2"/>
        <v>+37067453909</v>
      </c>
      <c r="I8" s="1" t="s">
        <v>140</v>
      </c>
    </row>
    <row r="9" spans="1:13" x14ac:dyDescent="0.25">
      <c r="A9" s="1">
        <v>4</v>
      </c>
      <c r="B9" s="1" t="s">
        <v>157</v>
      </c>
      <c r="C9" s="1" t="str">
        <f>Pareigybės!$B$9</f>
        <v>Gamybos darbuotojas</v>
      </c>
      <c r="D9" s="1">
        <f>VLOOKUP(C9,Pareigybės!$B$4:$C$9,2,FALSE)</f>
        <v>980</v>
      </c>
      <c r="E9" s="33">
        <f t="shared" si="0"/>
        <v>5.5681818181818183</v>
      </c>
      <c r="F9" s="33">
        <f t="shared" ca="1" si="1"/>
        <v>150</v>
      </c>
      <c r="G9" s="10" t="s">
        <v>49</v>
      </c>
      <c r="H9" s="1" t="str">
        <f t="shared" ca="1" si="2"/>
        <v>+37062628548</v>
      </c>
      <c r="I9" s="1" t="s">
        <v>141</v>
      </c>
    </row>
    <row r="10" spans="1:13" x14ac:dyDescent="0.25">
      <c r="A10" s="1">
        <v>5</v>
      </c>
      <c r="B10" s="1" t="s">
        <v>158</v>
      </c>
      <c r="C10" s="1" t="str">
        <f>Pareigybės!$B$9</f>
        <v>Gamybos darbuotojas</v>
      </c>
      <c r="D10" s="1">
        <f>VLOOKUP(C10,Pareigybės!$B$4:$C$9,2,FALSE)</f>
        <v>980</v>
      </c>
      <c r="E10" s="33">
        <f t="shared" si="0"/>
        <v>5.5681818181818183</v>
      </c>
      <c r="F10" s="33">
        <f t="shared" ca="1" si="1"/>
        <v>200</v>
      </c>
      <c r="G10" s="10" t="s">
        <v>49</v>
      </c>
      <c r="H10" s="1" t="str">
        <f t="shared" ca="1" si="2"/>
        <v>+37063970405</v>
      </c>
      <c r="I10" s="1" t="s">
        <v>142</v>
      </c>
      <c r="M10" s="32"/>
    </row>
    <row r="11" spans="1:13" x14ac:dyDescent="0.25">
      <c r="A11" s="1">
        <v>6</v>
      </c>
      <c r="B11" s="1" t="s">
        <v>159</v>
      </c>
      <c r="C11" s="1" t="str">
        <f>Pareigybės!B8</f>
        <v>Sandėlininkas</v>
      </c>
      <c r="D11" s="1">
        <f>VLOOKUP(C11,Pareigybės!$B$4:$C$9,2,FALSE)</f>
        <v>1090</v>
      </c>
      <c r="E11" s="33">
        <f t="shared" si="0"/>
        <v>6.1931818181818183</v>
      </c>
      <c r="F11" s="33">
        <f t="shared" ca="1" si="1"/>
        <v>200</v>
      </c>
      <c r="G11" s="10" t="s">
        <v>49</v>
      </c>
      <c r="H11" s="1" t="str">
        <f t="shared" ca="1" si="2"/>
        <v>+37065458993</v>
      </c>
      <c r="I11" s="1" t="s">
        <v>143</v>
      </c>
      <c r="M11" s="32"/>
    </row>
    <row r="12" spans="1:13" x14ac:dyDescent="0.25">
      <c r="A12" s="1">
        <v>7</v>
      </c>
      <c r="B12" s="1" t="s">
        <v>160</v>
      </c>
      <c r="C12" s="1" t="str">
        <f>Pareigybės!B5</f>
        <v>Buhalterė</v>
      </c>
      <c r="D12" s="1">
        <f>VLOOKUP(C12,Pareigybės!$B$4:$C$9,2,FALSE)</f>
        <v>1600</v>
      </c>
      <c r="E12" s="33">
        <f t="shared" si="0"/>
        <v>9.0909090909090917</v>
      </c>
      <c r="F12" s="33">
        <f t="shared" ca="1" si="1"/>
        <v>200</v>
      </c>
      <c r="G12" s="10" t="s">
        <v>49</v>
      </c>
      <c r="H12" s="1" t="str">
        <f t="shared" ca="1" si="2"/>
        <v>+37061623420</v>
      </c>
      <c r="I12" s="1" t="s">
        <v>144</v>
      </c>
    </row>
    <row r="13" spans="1:13" x14ac:dyDescent="0.25">
      <c r="A13" s="1">
        <v>8</v>
      </c>
      <c r="B13" s="1" t="s">
        <v>161</v>
      </c>
      <c r="C13" s="1" t="str">
        <f>Pareigybės!B7</f>
        <v>Vadybininkas</v>
      </c>
      <c r="D13" s="1">
        <f>VLOOKUP(C13,Pareigybės!$B$4:$C$9,2,FALSE)</f>
        <v>1199</v>
      </c>
      <c r="E13" s="33">
        <f t="shared" si="0"/>
        <v>6.8125</v>
      </c>
      <c r="F13" s="33">
        <f t="shared" ca="1" si="1"/>
        <v>200</v>
      </c>
      <c r="G13" s="10" t="s">
        <v>49</v>
      </c>
      <c r="H13" s="1" t="str">
        <f t="shared" ca="1" si="2"/>
        <v>+37061390467</v>
      </c>
      <c r="I13" s="1" t="s">
        <v>145</v>
      </c>
    </row>
    <row r="14" spans="1:13" x14ac:dyDescent="0.25">
      <c r="A14" s="1">
        <v>9</v>
      </c>
      <c r="B14" s="1" t="s">
        <v>162</v>
      </c>
      <c r="C14" s="1" t="str">
        <f>Pareigybės!B5</f>
        <v>Buhalterė</v>
      </c>
      <c r="D14" s="1">
        <f>VLOOKUP(C14,Pareigybės!$B$4:$C$9,2,FALSE)</f>
        <v>1600</v>
      </c>
      <c r="E14" s="33">
        <f t="shared" si="0"/>
        <v>9.0909090909090917</v>
      </c>
      <c r="F14" s="33">
        <f t="shared" ca="1" si="1"/>
        <v>200</v>
      </c>
      <c r="G14" s="10" t="s">
        <v>49</v>
      </c>
      <c r="H14" s="1" t="str">
        <f t="shared" ca="1" si="2"/>
        <v>+37067047463</v>
      </c>
      <c r="I14" s="1" t="s">
        <v>146</v>
      </c>
    </row>
    <row r="15" spans="1:13" x14ac:dyDescent="0.25">
      <c r="A15" s="1">
        <v>10</v>
      </c>
      <c r="B15" s="1" t="s">
        <v>163</v>
      </c>
      <c r="C15" s="1" t="str">
        <f>Pareigybės!$B$9</f>
        <v>Gamybos darbuotojas</v>
      </c>
      <c r="D15" s="1">
        <f>VLOOKUP(C15,Pareigybės!$B$4:$C$9,2,FALSE)</f>
        <v>980</v>
      </c>
      <c r="E15" s="33">
        <f t="shared" si="0"/>
        <v>5.5681818181818183</v>
      </c>
      <c r="F15" s="33">
        <f t="shared" ca="1" si="1"/>
        <v>200</v>
      </c>
      <c r="G15" s="10" t="s">
        <v>49</v>
      </c>
      <c r="H15" s="1" t="str">
        <f t="shared" ca="1" si="2"/>
        <v>+37067879476</v>
      </c>
      <c r="I15" s="1" t="s">
        <v>147</v>
      </c>
    </row>
    <row r="16" spans="1:13" x14ac:dyDescent="0.25">
      <c r="A16" s="1">
        <v>11</v>
      </c>
      <c r="B16" s="1" t="s">
        <v>164</v>
      </c>
      <c r="C16" s="1" t="str">
        <f>Pareigybės!$B$9</f>
        <v>Gamybos darbuotojas</v>
      </c>
      <c r="D16" s="1">
        <f>VLOOKUP(C16,Pareigybės!$B$4:$C$9,2,FALSE)</f>
        <v>980</v>
      </c>
      <c r="E16" s="33">
        <f t="shared" si="0"/>
        <v>5.5681818181818183</v>
      </c>
      <c r="F16" s="33">
        <f t="shared" ca="1" si="1"/>
        <v>150</v>
      </c>
      <c r="G16" s="10" t="s">
        <v>49</v>
      </c>
      <c r="H16" s="1" t="str">
        <f t="shared" ca="1" si="2"/>
        <v>+37068366163</v>
      </c>
      <c r="I16" s="1" t="s">
        <v>148</v>
      </c>
    </row>
    <row r="17" spans="1:9" x14ac:dyDescent="0.25">
      <c r="A17" s="1">
        <v>12</v>
      </c>
      <c r="B17" s="1" t="s">
        <v>165</v>
      </c>
      <c r="C17" s="1" t="str">
        <f>Pareigybės!$B$9</f>
        <v>Gamybos darbuotojas</v>
      </c>
      <c r="D17" s="1">
        <f>VLOOKUP(C17,Pareigybės!$B$4:$C$9,2,FALSE)</f>
        <v>980</v>
      </c>
      <c r="E17" s="33">
        <f t="shared" si="0"/>
        <v>5.5681818181818183</v>
      </c>
      <c r="F17" s="33">
        <f t="shared" ca="1" si="1"/>
        <v>150</v>
      </c>
      <c r="G17" s="10" t="s">
        <v>49</v>
      </c>
      <c r="H17" s="1" t="str">
        <f t="shared" ca="1" si="2"/>
        <v>+37066686400</v>
      </c>
      <c r="I17" s="1" t="s">
        <v>149</v>
      </c>
    </row>
    <row r="18" spans="1:9" x14ac:dyDescent="0.25">
      <c r="A18" s="1">
        <v>13</v>
      </c>
      <c r="B18" s="1" t="s">
        <v>166</v>
      </c>
      <c r="C18" s="1" t="str">
        <f>Pareigybės!$B$9</f>
        <v>Gamybos darbuotojas</v>
      </c>
      <c r="D18" s="1">
        <f>VLOOKUP(C18,Pareigybės!$B$4:$C$9,2,FALSE)</f>
        <v>980</v>
      </c>
      <c r="E18" s="33">
        <f t="shared" si="0"/>
        <v>5.5681818181818183</v>
      </c>
      <c r="F18" s="33">
        <f t="shared" ca="1" si="1"/>
        <v>200</v>
      </c>
      <c r="G18" s="10" t="s">
        <v>49</v>
      </c>
      <c r="H18" s="1" t="str">
        <f t="shared" ca="1" si="2"/>
        <v>+37066180114</v>
      </c>
      <c r="I18" s="1" t="s">
        <v>150</v>
      </c>
    </row>
    <row r="19" spans="1:9" x14ac:dyDescent="0.25">
      <c r="A19" s="1">
        <v>14</v>
      </c>
      <c r="B19" s="1" t="s">
        <v>167</v>
      </c>
      <c r="C19" s="1" t="str">
        <f>Pareigybės!B6</f>
        <v>Administratorė</v>
      </c>
      <c r="D19" s="1">
        <f>VLOOKUP(C19,Pareigybės!$B$4:$C$9,2,FALSE)</f>
        <v>1505</v>
      </c>
      <c r="E19" s="33">
        <f t="shared" si="0"/>
        <v>8.5511363636363633</v>
      </c>
      <c r="F19" s="33">
        <f t="shared" ca="1" si="1"/>
        <v>150</v>
      </c>
      <c r="G19" s="10" t="s">
        <v>49</v>
      </c>
      <c r="H19" s="1" t="str">
        <f t="shared" ca="1" si="2"/>
        <v>+37067299124</v>
      </c>
      <c r="I19" s="1" t="s">
        <v>151</v>
      </c>
    </row>
    <row r="20" spans="1:9" x14ac:dyDescent="0.25">
      <c r="A20" s="1">
        <v>15</v>
      </c>
      <c r="B20" s="1" t="s">
        <v>168</v>
      </c>
      <c r="C20" s="1" t="str">
        <f>Pareigybės!B4</f>
        <v>Vadovas</v>
      </c>
      <c r="D20" s="1">
        <f>VLOOKUP(C20,Pareigybės!$B$4:$C$9,2,FALSE)</f>
        <v>2800</v>
      </c>
      <c r="E20" s="33">
        <f t="shared" si="0"/>
        <v>15.909090909090908</v>
      </c>
      <c r="F20" s="33">
        <f t="shared" ca="1" si="1"/>
        <v>200</v>
      </c>
      <c r="G20" s="10" t="s">
        <v>49</v>
      </c>
      <c r="H20" s="1" t="str">
        <f t="shared" ca="1" si="2"/>
        <v>+37065490178</v>
      </c>
      <c r="I20" s="1" t="s">
        <v>152</v>
      </c>
    </row>
    <row r="27" spans="1:9" x14ac:dyDescent="0.25">
      <c r="B27" s="14"/>
      <c r="C27" s="12"/>
      <c r="H27" s="12"/>
    </row>
    <row r="28" spans="1:9" x14ac:dyDescent="0.25">
      <c r="B28" s="14"/>
      <c r="C28" s="12"/>
      <c r="H28" s="12"/>
    </row>
    <row r="29" spans="1:9" x14ac:dyDescent="0.25">
      <c r="C29" s="12"/>
      <c r="H29" s="12"/>
    </row>
    <row r="30" spans="1:9" x14ac:dyDescent="0.25">
      <c r="C30" s="12"/>
      <c r="H30" s="12"/>
    </row>
    <row r="31" spans="1:9" x14ac:dyDescent="0.25">
      <c r="C31" s="12"/>
      <c r="H31" s="12"/>
    </row>
    <row r="32" spans="1:9" x14ac:dyDescent="0.25">
      <c r="C32" s="13"/>
      <c r="H32" s="13"/>
    </row>
    <row r="33" spans="3:8" x14ac:dyDescent="0.25">
      <c r="C33" s="12"/>
      <c r="H33" s="12"/>
    </row>
    <row r="34" spans="3:8" x14ac:dyDescent="0.25">
      <c r="C34" s="12"/>
      <c r="H34" s="12"/>
    </row>
    <row r="35" spans="3:8" x14ac:dyDescent="0.25">
      <c r="C35" s="12"/>
      <c r="H35" s="12"/>
    </row>
    <row r="36" spans="3:8" x14ac:dyDescent="0.25">
      <c r="C36" s="12"/>
      <c r="H36" s="12"/>
    </row>
    <row r="37" spans="3:8" x14ac:dyDescent="0.25">
      <c r="C37" s="12"/>
      <c r="H37" s="12"/>
    </row>
    <row r="38" spans="3:8" x14ac:dyDescent="0.25">
      <c r="C38" s="12"/>
      <c r="H38" s="12"/>
    </row>
    <row r="39" spans="3:8" x14ac:dyDescent="0.25">
      <c r="C39" s="12"/>
      <c r="H39" s="12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"/>
  <sheetViews>
    <sheetView topLeftCell="A9" zoomScale="85" zoomScaleNormal="85" workbookViewId="0">
      <selection activeCell="V14" activeCellId="2" sqref="D14 P14:S14 V14"/>
    </sheetView>
  </sheetViews>
  <sheetFormatPr defaultColWidth="9.140625" defaultRowHeight="15" x14ac:dyDescent="0.25"/>
  <cols>
    <col min="1" max="1" width="24.28515625" style="19" bestFit="1" customWidth="1"/>
    <col min="2" max="2" width="9.140625" style="19" customWidth="1"/>
    <col min="3" max="3" width="22.5703125" style="19" customWidth="1"/>
    <col min="4" max="4" width="18.5703125" style="19" customWidth="1"/>
    <col min="5" max="5" width="23.5703125" style="19" customWidth="1"/>
    <col min="6" max="6" width="26.7109375" style="19" customWidth="1"/>
    <col min="7" max="7" width="30.140625" style="19" customWidth="1"/>
    <col min="8" max="8" width="18.7109375" style="19" customWidth="1"/>
    <col min="9" max="9" width="20.140625" style="19" customWidth="1"/>
    <col min="10" max="10" width="15.140625" style="19" customWidth="1"/>
    <col min="11" max="11" width="21.7109375" style="19" customWidth="1"/>
    <col min="12" max="12" width="19.7109375" style="19" customWidth="1"/>
    <col min="13" max="13" width="40.28515625" style="19" customWidth="1"/>
    <col min="14" max="14" width="40.5703125" style="19" customWidth="1"/>
    <col min="15" max="15" width="22" style="19" customWidth="1"/>
    <col min="16" max="16" width="18.28515625" style="19" customWidth="1"/>
    <col min="17" max="17" width="10.140625" style="19" customWidth="1"/>
    <col min="18" max="18" width="14.42578125" style="19" customWidth="1"/>
    <col min="19" max="19" width="14.85546875" style="19" customWidth="1"/>
    <col min="20" max="20" width="30.140625" style="19" customWidth="1"/>
    <col min="21" max="21" width="20.7109375" style="19" customWidth="1"/>
    <col min="22" max="22" width="19.42578125" style="19" customWidth="1"/>
    <col min="23" max="23" width="24.42578125" style="19" customWidth="1"/>
    <col min="24" max="24" width="13.5703125" style="19" bestFit="1" customWidth="1"/>
    <col min="25" max="25" width="28.42578125" style="19" customWidth="1"/>
    <col min="26" max="16384" width="9.140625" style="19"/>
  </cols>
  <sheetData>
    <row r="1" spans="1:25" ht="18.75" customHeight="1" x14ac:dyDescent="0.25">
      <c r="A1" s="2" t="s">
        <v>70</v>
      </c>
      <c r="F1" s="20" t="s">
        <v>111</v>
      </c>
      <c r="G1" s="21">
        <v>0.2</v>
      </c>
      <c r="J1" s="40" t="s">
        <v>4</v>
      </c>
      <c r="K1" s="40"/>
      <c r="L1" s="22">
        <v>2E-3</v>
      </c>
      <c r="N1" s="42" t="s">
        <v>96</v>
      </c>
      <c r="O1" s="42"/>
      <c r="P1" s="42"/>
      <c r="Q1" s="42"/>
      <c r="R1" s="27">
        <v>1.6000000000000001E-3</v>
      </c>
      <c r="S1" s="34">
        <f ca="1">J7*R1</f>
        <v>25.963961904761906</v>
      </c>
    </row>
    <row r="2" spans="1:25" ht="15.75" customHeight="1" x14ac:dyDescent="0.25">
      <c r="A2" s="19" t="s">
        <v>71</v>
      </c>
      <c r="F2" s="20" t="s">
        <v>112</v>
      </c>
      <c r="G2" s="21">
        <v>0.27</v>
      </c>
      <c r="J2" s="41" t="s">
        <v>75</v>
      </c>
      <c r="K2" s="41"/>
      <c r="L2" s="23">
        <f ca="1">O7*$L$1</f>
        <v>38.121588744588749</v>
      </c>
      <c r="N2" s="42" t="s">
        <v>97</v>
      </c>
      <c r="O2" s="42"/>
      <c r="P2" s="42"/>
      <c r="Q2" s="42"/>
      <c r="R2" s="24">
        <v>1.4E-3</v>
      </c>
      <c r="S2" s="35">
        <f ca="1">J7*R2</f>
        <v>22.718466666666668</v>
      </c>
    </row>
    <row r="3" spans="1:25" ht="17.25" customHeight="1" x14ac:dyDescent="0.25">
      <c r="A3" s="2" t="s">
        <v>72</v>
      </c>
      <c r="F3" s="20" t="s">
        <v>45</v>
      </c>
      <c r="G3" s="25">
        <v>0.1429</v>
      </c>
    </row>
    <row r="4" spans="1:25" ht="14.25" customHeight="1" x14ac:dyDescent="0.25">
      <c r="A4" s="2"/>
      <c r="F4" s="20" t="s">
        <v>95</v>
      </c>
      <c r="G4" s="25">
        <v>6.9800000000000001E-2</v>
      </c>
    </row>
    <row r="5" spans="1:25" x14ac:dyDescent="0.25">
      <c r="A5" s="2" t="s">
        <v>169</v>
      </c>
      <c r="F5" s="20" t="s">
        <v>46</v>
      </c>
      <c r="G5" s="25">
        <v>1.77E-2</v>
      </c>
    </row>
    <row r="6" spans="1:25" x14ac:dyDescent="0.25">
      <c r="F6" s="20" t="s">
        <v>47</v>
      </c>
      <c r="G6" s="21">
        <v>0.03</v>
      </c>
    </row>
    <row r="7" spans="1:25" x14ac:dyDescent="0.25">
      <c r="A7" s="16" t="s">
        <v>73</v>
      </c>
      <c r="F7" s="20" t="s">
        <v>66</v>
      </c>
      <c r="G7" s="21">
        <v>0.65</v>
      </c>
      <c r="I7" s="19" t="s">
        <v>76</v>
      </c>
      <c r="J7" s="23">
        <f ca="1">SUM(J10:J24)</f>
        <v>16227.476190476191</v>
      </c>
      <c r="K7" s="23">
        <f t="shared" ref="K7:X7" ca="1" si="0">SUM(K10:K24)</f>
        <v>150</v>
      </c>
      <c r="L7" s="23">
        <f t="shared" ca="1" si="0"/>
        <v>1802.9545454545453</v>
      </c>
      <c r="M7" s="23">
        <f t="shared" si="0"/>
        <v>0</v>
      </c>
      <c r="N7" s="23">
        <f t="shared" ca="1" si="0"/>
        <v>880.36363636363637</v>
      </c>
      <c r="O7" s="23">
        <f t="shared" ca="1" si="0"/>
        <v>19060.794372294375</v>
      </c>
      <c r="P7" s="23">
        <f ca="1">SUM(P10:P24)</f>
        <v>2553.2003896103897</v>
      </c>
      <c r="Q7" s="23">
        <f ca="1">SUM(Q10:Q24)</f>
        <v>3301.5187965367968</v>
      </c>
      <c r="R7" s="23">
        <f t="shared" ca="1" si="0"/>
        <v>2597.9835521645023</v>
      </c>
      <c r="S7" s="23">
        <f t="shared" ca="1" si="0"/>
        <v>1330.4434471861471</v>
      </c>
      <c r="T7" s="23">
        <f t="shared" ca="1" si="0"/>
        <v>486.82428571428557</v>
      </c>
      <c r="U7" s="23">
        <f t="shared" ca="1" si="0"/>
        <v>9783.146185497837</v>
      </c>
      <c r="V7" s="23">
        <f t="shared" ca="1" si="0"/>
        <v>9277.6481867965376</v>
      </c>
      <c r="W7" s="23">
        <f t="shared" ca="1" si="0"/>
        <v>337.37606038961042</v>
      </c>
      <c r="X7" s="23">
        <f t="shared" ca="1" si="0"/>
        <v>2750</v>
      </c>
      <c r="Y7" s="23">
        <f ca="1">SUM(Y10:Y24)</f>
        <v>12027.648186796538</v>
      </c>
    </row>
    <row r="9" spans="1:25" s="26" customFormat="1" ht="60" x14ac:dyDescent="0.25">
      <c r="A9" s="45" t="s">
        <v>14</v>
      </c>
      <c r="B9" s="46" t="s">
        <v>15</v>
      </c>
      <c r="C9" s="46" t="s">
        <v>16</v>
      </c>
      <c r="D9" s="46" t="s">
        <v>8</v>
      </c>
      <c r="E9" s="46" t="s">
        <v>100</v>
      </c>
      <c r="F9" s="46" t="s">
        <v>101</v>
      </c>
      <c r="G9" s="46" t="s">
        <v>18</v>
      </c>
      <c r="H9" s="46" t="s">
        <v>19</v>
      </c>
      <c r="I9" s="46" t="s">
        <v>20</v>
      </c>
      <c r="J9" s="46" t="s">
        <v>102</v>
      </c>
      <c r="K9" s="46" t="s">
        <v>103</v>
      </c>
      <c r="L9" s="46" t="s">
        <v>23</v>
      </c>
      <c r="M9" s="46" t="s">
        <v>24</v>
      </c>
      <c r="N9" s="46" t="s">
        <v>25</v>
      </c>
      <c r="O9" s="46" t="s">
        <v>26</v>
      </c>
      <c r="P9" s="46" t="s">
        <v>104</v>
      </c>
      <c r="Q9" s="46" t="s">
        <v>110</v>
      </c>
      <c r="R9" s="46" t="s">
        <v>98</v>
      </c>
      <c r="S9" s="46" t="s">
        <v>99</v>
      </c>
      <c r="T9" s="46" t="s">
        <v>47</v>
      </c>
      <c r="U9" s="46" t="s">
        <v>28</v>
      </c>
      <c r="V9" s="46" t="s">
        <v>29</v>
      </c>
      <c r="W9" s="46" t="s">
        <v>30</v>
      </c>
      <c r="X9" s="46" t="s">
        <v>31</v>
      </c>
      <c r="Y9" s="47" t="s">
        <v>32</v>
      </c>
    </row>
    <row r="10" spans="1:25" x14ac:dyDescent="0.25">
      <c r="A10" s="43" t="s">
        <v>153</v>
      </c>
      <c r="B10" s="37" t="str">
        <f>"03"</f>
        <v>03</v>
      </c>
      <c r="C10" s="36">
        <f>EOMONTH(DATE(2026,3,1),0)</f>
        <v>46112</v>
      </c>
      <c r="D10" s="1" t="str">
        <f>Darbuotojai!B20</f>
        <v>Darbuotojas 15</v>
      </c>
      <c r="E10" s="23">
        <f>VLOOKUP(D10,Darbuotojai!$B$6:$D$20,3,FALSE)</f>
        <v>2800</v>
      </c>
      <c r="F10" s="35">
        <f>VLOOKUP(D10,Darbuotojai!$B$6:$E$20,4,FALSE)</f>
        <v>15.909090909090908</v>
      </c>
      <c r="G10" s="23">
        <f>NETWORKDAYS(DATE(2026,3,1),DATE(2026,3,31),DATE(2026,3,11))</f>
        <v>21</v>
      </c>
      <c r="H10" s="23">
        <f ca="1">RANDBETWEEN(15,G10)</f>
        <v>20</v>
      </c>
      <c r="I10" s="23">
        <f ca="1">H10*8</f>
        <v>160</v>
      </c>
      <c r="J10" s="35">
        <f ca="1">E10*'Darbo užmokestis'!H24/'Darbo užmokestis'!G24</f>
        <v>2800</v>
      </c>
      <c r="K10" s="35">
        <f ca="1">IF(G10=H10,50,0)</f>
        <v>0</v>
      </c>
      <c r="L10" s="35">
        <f ca="1">IF(G10-H10&gt;4,8*F10*(G10-H10),0)</f>
        <v>0</v>
      </c>
      <c r="M10" s="35">
        <v>0</v>
      </c>
      <c r="N10" s="35">
        <f ca="1">IF(G10-H10&lt;=4,F10*8*RANDBETWEEN(1,2),0)</f>
        <v>254.54545454545453</v>
      </c>
      <c r="O10" s="35">
        <f ca="1">J10+K10+L10+M10+N10</f>
        <v>3054.5454545454545</v>
      </c>
      <c r="P10" s="35">
        <f ca="1">IF(IF(O10&lt;=730,460,IF(O10&lt;1678,460-0.26*O10,IF(O10&gt;1678,460-0.18*O10)))&gt;0,IF(O10&lt;=730,460,IF(O10&lt;1678,460-0.26*O10,IF(O10&gt;1678,460-0.18*O10))),0)</f>
        <v>0</v>
      </c>
      <c r="Q10" s="35">
        <f ca="1">(O10-P10)*20%</f>
        <v>610.90909090909088</v>
      </c>
      <c r="R10" s="35">
        <f ca="1">(O10-N10)*14.29%</f>
        <v>400.12</v>
      </c>
      <c r="S10" s="35">
        <f ca="1">O10*6.98%</f>
        <v>213.20727272727274</v>
      </c>
      <c r="T10" s="35">
        <f ca="1">J10*3%</f>
        <v>84</v>
      </c>
      <c r="U10" s="35">
        <f ca="1">SUM(P10:S10)</f>
        <v>1224.2363636363636</v>
      </c>
      <c r="V10" s="35">
        <f ca="1">O10-U10</f>
        <v>1830.3090909090909</v>
      </c>
      <c r="W10" s="35">
        <f ca="1">O10*1.77%</f>
        <v>54.065454545454543</v>
      </c>
      <c r="X10" s="35">
        <f ca="1">VLOOKUP(D10,Darbuotojai!B20:F34,5,FALSE)</f>
        <v>200</v>
      </c>
      <c r="Y10" s="44">
        <f ca="1">V10+X10</f>
        <v>2030.3090909090909</v>
      </c>
    </row>
    <row r="11" spans="1:25" x14ac:dyDescent="0.25">
      <c r="A11" s="43" t="s">
        <v>153</v>
      </c>
      <c r="B11" s="37" t="str">
        <f>"03"</f>
        <v>03</v>
      </c>
      <c r="C11" s="36">
        <f>EOMONTH(DATE(2026,3,1),0)</f>
        <v>46112</v>
      </c>
      <c r="D11" s="1" t="str">
        <f>Darbuotojai!B12</f>
        <v>Darbuotojas 7</v>
      </c>
      <c r="E11" s="23">
        <f>VLOOKUP(D11,Darbuotojai!$B$6:$D$20,3,FALSE)</f>
        <v>1600</v>
      </c>
      <c r="F11" s="35">
        <f>VLOOKUP(D11,Darbuotojai!$B$6:$E$20,4,FALSE)</f>
        <v>9.0909090909090917</v>
      </c>
      <c r="G11" s="23">
        <f>NETWORKDAYS(DATE(2026,3,1),DATE(2026,3,31),DATE(2026,3,11))</f>
        <v>21</v>
      </c>
      <c r="H11" s="23">
        <f ca="1">RANDBETWEEN(15,G11)</f>
        <v>15</v>
      </c>
      <c r="I11" s="23">
        <f ca="1">H11*8</f>
        <v>120</v>
      </c>
      <c r="J11" s="35">
        <f ca="1">E11*'Darbo užmokestis'!H16/'Darbo užmokestis'!G16</f>
        <v>1295.2380952380952</v>
      </c>
      <c r="K11" s="35">
        <f ca="1">IF(G11=H11,50,0)</f>
        <v>0</v>
      </c>
      <c r="L11" s="35">
        <f ca="1">IF(G11-H11&gt;4,8*F11*(G11-H11),0)</f>
        <v>436.36363636363637</v>
      </c>
      <c r="M11" s="35">
        <v>0</v>
      </c>
      <c r="N11" s="35">
        <f ca="1">IF(G11-H11&lt;=4,F11*8*RANDBETWEEN(1,2),0)</f>
        <v>0</v>
      </c>
      <c r="O11" s="35">
        <f ca="1">J11+K11+L11+M11+N11</f>
        <v>1731.6017316017314</v>
      </c>
      <c r="P11" s="35">
        <f ca="1">IF(IF(O11&lt;=730,460,IF(O11&lt;1678,460-0.26*O11,IF(O11&gt;1678,460-0.18*O11)))&gt;0,IF(O11&lt;=730,460,IF(O11&lt;1678,460-0.26*O11,IF(O11&gt;1678,460-0.18*O11))),0)</f>
        <v>148.31168831168833</v>
      </c>
      <c r="Q11" s="35">
        <f ca="1">(O11-P11)*20%</f>
        <v>316.65800865800861</v>
      </c>
      <c r="R11" s="35">
        <f ca="1">(O11-N11)*14.29%</f>
        <v>247.44588744588742</v>
      </c>
      <c r="S11" s="35">
        <f ca="1">O11*6.98%</f>
        <v>120.86580086580085</v>
      </c>
      <c r="T11" s="35">
        <f ca="1">J11*3%</f>
        <v>38.857142857142854</v>
      </c>
      <c r="U11" s="35">
        <f ca="1">SUM(P11:S11)</f>
        <v>833.28138528138516</v>
      </c>
      <c r="V11" s="35">
        <f ca="1">O11-U11</f>
        <v>898.32034632034629</v>
      </c>
      <c r="W11" s="35">
        <f ca="1">O11*1.77%</f>
        <v>30.649350649350648</v>
      </c>
      <c r="X11" s="35">
        <f ca="1">VLOOKUP(D11,Darbuotojai!B12:F26,5,FALSE)</f>
        <v>200</v>
      </c>
      <c r="Y11" s="44">
        <f ca="1">V11+X11</f>
        <v>1098.3203463203463</v>
      </c>
    </row>
    <row r="12" spans="1:25" x14ac:dyDescent="0.25">
      <c r="A12" s="43" t="s">
        <v>153</v>
      </c>
      <c r="B12" s="37" t="str">
        <f>"03"</f>
        <v>03</v>
      </c>
      <c r="C12" s="36">
        <f>EOMONTH(DATE(2026,3,1),0)</f>
        <v>46112</v>
      </c>
      <c r="D12" s="1" t="str">
        <f>Darbuotojai!B14</f>
        <v>Darbuotojas 9</v>
      </c>
      <c r="E12" s="23">
        <f>VLOOKUP(D12,Darbuotojai!$B$6:$D$20,3,FALSE)</f>
        <v>1600</v>
      </c>
      <c r="F12" s="35">
        <f>VLOOKUP(D12,Darbuotojai!$B$6:$E$20,4,FALSE)</f>
        <v>9.0909090909090917</v>
      </c>
      <c r="G12" s="23">
        <f>NETWORKDAYS(DATE(2026,3,1),DATE(2026,3,31),DATE(2026,3,11))</f>
        <v>21</v>
      </c>
      <c r="H12" s="23">
        <f ca="1">RANDBETWEEN(15,G12)</f>
        <v>21</v>
      </c>
      <c r="I12" s="23">
        <f ca="1">H12*8</f>
        <v>168</v>
      </c>
      <c r="J12" s="35">
        <f ca="1">E12*'Darbo užmokestis'!H18/'Darbo užmokestis'!G18</f>
        <v>1142.8571428571429</v>
      </c>
      <c r="K12" s="35">
        <f ca="1">IF(G12=H12,50,0)</f>
        <v>50</v>
      </c>
      <c r="L12" s="35">
        <f ca="1">IF(G12-H12&gt;4,8*F12*(G12-H12),0)</f>
        <v>0</v>
      </c>
      <c r="M12" s="35">
        <v>0</v>
      </c>
      <c r="N12" s="35">
        <f ca="1">IF(G12-H12&lt;=4,F12*8*RANDBETWEEN(1,2),0)</f>
        <v>145.45454545454547</v>
      </c>
      <c r="O12" s="35">
        <f ca="1">J12+K12+L12+M12+N12</f>
        <v>1338.3116883116884</v>
      </c>
      <c r="P12" s="35">
        <f ca="1">IF(IF(O12&lt;=730,460,IF(O12&lt;1678,460-0.26*O12,IF(O12&gt;1678,460-0.18*O12)))&gt;0,IF(O12&lt;=730,460,IF(O12&lt;1678,460-0.26*O12,IF(O12&gt;1678,460-0.18*O12))),0)</f>
        <v>112.03896103896102</v>
      </c>
      <c r="Q12" s="35">
        <f ca="1">(O12-P12)*20%</f>
        <v>245.25454545454551</v>
      </c>
      <c r="R12" s="35">
        <f ca="1">(O12-N12)*14.29%</f>
        <v>170.45928571428573</v>
      </c>
      <c r="S12" s="35">
        <f ca="1">O12*6.98%</f>
        <v>93.414155844155857</v>
      </c>
      <c r="T12" s="35">
        <f ca="1">J12*3%</f>
        <v>34.285714285714285</v>
      </c>
      <c r="U12" s="35">
        <f ca="1">SUM(P12:S12)</f>
        <v>621.16694805194811</v>
      </c>
      <c r="V12" s="35">
        <f ca="1">O12-U12</f>
        <v>717.14474025974027</v>
      </c>
      <c r="W12" s="35">
        <f ca="1">O12*1.77%</f>
        <v>23.688116883116884</v>
      </c>
      <c r="X12" s="35">
        <f ca="1">VLOOKUP(D12,Darbuotojai!B14:F28,5,FALSE)</f>
        <v>200</v>
      </c>
      <c r="Y12" s="44">
        <f ca="1">V12+X12</f>
        <v>917.14474025974027</v>
      </c>
    </row>
    <row r="13" spans="1:25" x14ac:dyDescent="0.25">
      <c r="A13" s="43" t="s">
        <v>153</v>
      </c>
      <c r="B13" s="37" t="str">
        <f>"03"</f>
        <v>03</v>
      </c>
      <c r="C13" s="36">
        <f>EOMONTH(DATE(2026,3,1),0)</f>
        <v>46112</v>
      </c>
      <c r="D13" s="1" t="str">
        <f>Darbuotojai!B19</f>
        <v>Darbuotojas 14</v>
      </c>
      <c r="E13" s="23">
        <f>VLOOKUP(D13,Darbuotojai!$B$6:$D$20,3,FALSE)</f>
        <v>1505</v>
      </c>
      <c r="F13" s="35">
        <f>VLOOKUP(D13,Darbuotojai!$B$6:$E$20,4,FALSE)</f>
        <v>8.5511363636363633</v>
      </c>
      <c r="G13" s="23">
        <f>NETWORKDAYS(DATE(2026,3,1),DATE(2026,3,31),DATE(2026,3,11))</f>
        <v>21</v>
      </c>
      <c r="H13" s="23">
        <f ca="1">RANDBETWEEN(15,G13)</f>
        <v>16</v>
      </c>
      <c r="I13" s="23">
        <f ca="1">H13*8</f>
        <v>128</v>
      </c>
      <c r="J13" s="35">
        <f ca="1">E13*'Darbo užmokestis'!H23/'Darbo užmokestis'!G23</f>
        <v>1361.6666666666667</v>
      </c>
      <c r="K13" s="35">
        <f ca="1">IF(G13=H13,50,0)</f>
        <v>0</v>
      </c>
      <c r="L13" s="35">
        <f ca="1">IF(G13-H13&gt;4,8*F13*(G13-H13),0)</f>
        <v>342.0454545454545</v>
      </c>
      <c r="M13" s="35">
        <v>0</v>
      </c>
      <c r="N13" s="35">
        <f ca="1">IF(G13-H13&lt;=4,F13*8*RANDBETWEEN(1,2),0)</f>
        <v>0</v>
      </c>
      <c r="O13" s="35">
        <f ca="1">J13+K13+L13+M13+N13</f>
        <v>1703.7121212121212</v>
      </c>
      <c r="P13" s="35">
        <f ca="1">IF(IF(O13&lt;=730,460,IF(O13&lt;1678,460-0.26*O13,IF(O13&gt;1678,460-0.18*O13)))&gt;0,IF(O13&lt;=730,460,IF(O13&lt;1678,460-0.26*O13,IF(O13&gt;1678,460-0.18*O13))),0)</f>
        <v>153.33181818181816</v>
      </c>
      <c r="Q13" s="35">
        <f ca="1">(O13-P13)*20%</f>
        <v>310.07606060606065</v>
      </c>
      <c r="R13" s="35">
        <f ca="1">(O13-N13)*14.29%</f>
        <v>243.46046212121212</v>
      </c>
      <c r="S13" s="35">
        <f ca="1">O13*6.98%</f>
        <v>118.91910606060607</v>
      </c>
      <c r="T13" s="35">
        <f ca="1">J13*3%</f>
        <v>40.85</v>
      </c>
      <c r="U13" s="35">
        <f ca="1">SUM(P13:S13)</f>
        <v>825.78744696969693</v>
      </c>
      <c r="V13" s="35">
        <f ca="1">O13-U13</f>
        <v>877.92467424242432</v>
      </c>
      <c r="W13" s="35">
        <f ca="1">O13*1.77%</f>
        <v>30.155704545454547</v>
      </c>
      <c r="X13" s="35">
        <f ca="1">VLOOKUP(D13,Darbuotojai!B19:F33,5,FALSE)</f>
        <v>150</v>
      </c>
      <c r="Y13" s="44">
        <f ca="1">V13+X13</f>
        <v>1027.9246742424243</v>
      </c>
    </row>
    <row r="14" spans="1:25" x14ac:dyDescent="0.25">
      <c r="A14" s="43" t="s">
        <v>153</v>
      </c>
      <c r="B14" s="37" t="str">
        <f>"03"</f>
        <v>03</v>
      </c>
      <c r="C14" s="36">
        <f>EOMONTH(DATE(2026,3,1),0)</f>
        <v>46112</v>
      </c>
      <c r="D14" s="1" t="str">
        <f>Darbuotojai!B6</f>
        <v>Darbuotojas 1</v>
      </c>
      <c r="E14" s="23">
        <f>VLOOKUP(D14,Darbuotojai!$B$6:$D$20,3,FALSE)</f>
        <v>1199</v>
      </c>
      <c r="F14" s="35">
        <f>VLOOKUP(D14,Darbuotojai!$B$6:$E$20,4,FALSE)</f>
        <v>6.8125</v>
      </c>
      <c r="G14" s="23">
        <f>NETWORKDAYS(DATE(2026,3,1),DATE(2026,3,31),DATE(2026,3,11))</f>
        <v>21</v>
      </c>
      <c r="H14" s="23">
        <f ca="1">RANDBETWEEN(15,G14)</f>
        <v>21</v>
      </c>
      <c r="I14" s="23">
        <f ca="1">H14*8</f>
        <v>168</v>
      </c>
      <c r="J14" s="35">
        <f ca="1">E14*'Darbo užmokestis'!H10/'Darbo užmokestis'!G10</f>
        <v>1141.9047619047619</v>
      </c>
      <c r="K14" s="35">
        <f ca="1">IF(G14=H14,50,0)</f>
        <v>50</v>
      </c>
      <c r="L14" s="35">
        <f ca="1">IF(G14-H14&gt;4,8*F14*(G14-H14),0)</f>
        <v>0</v>
      </c>
      <c r="M14" s="35">
        <v>0</v>
      </c>
      <c r="N14" s="35">
        <f ca="1">IF(G14-H14&lt;=4,F14*8*RANDBETWEEN(1,2),0)</f>
        <v>54.5</v>
      </c>
      <c r="O14" s="35">
        <f ca="1">J14+K14+L14+M14+N14</f>
        <v>1246.4047619047619</v>
      </c>
      <c r="P14" s="35">
        <f ca="1">IF(IF(O14&lt;=730,460,IF(O14&lt;1678,460-0.26*O14,IF(O14&gt;1678,460-0.18*O14)))&gt;0,IF(O14&lt;=730,460,IF(O14&lt;1678,460-0.26*O14,IF(O14&gt;1678,460-0.18*O14))),0)</f>
        <v>135.9347619047619</v>
      </c>
      <c r="Q14" s="35">
        <f ca="1">(O14-P14)*20%</f>
        <v>222.09400000000002</v>
      </c>
      <c r="R14" s="35">
        <f ca="1">(O14-N14)*14.29%</f>
        <v>170.32319047619049</v>
      </c>
      <c r="S14" s="35">
        <f ca="1">O14*6.98%</f>
        <v>86.999052380952378</v>
      </c>
      <c r="T14" s="35">
        <f ca="1">J14*3%</f>
        <v>34.25714285714286</v>
      </c>
      <c r="U14" s="35">
        <f ca="1">SUM(P14:S14)</f>
        <v>615.35100476190473</v>
      </c>
      <c r="V14" s="35">
        <f ca="1">O14-U14</f>
        <v>631.05375714285719</v>
      </c>
      <c r="W14" s="35">
        <f ca="1">O14*1.77%</f>
        <v>22.061364285714287</v>
      </c>
      <c r="X14" s="35">
        <f ca="1">VLOOKUP(D14,Darbuotojai!B6:F20,5,FALSE)</f>
        <v>150</v>
      </c>
      <c r="Y14" s="44">
        <f ca="1">V14+X14</f>
        <v>781.05375714285719</v>
      </c>
    </row>
    <row r="15" spans="1:25" x14ac:dyDescent="0.25">
      <c r="A15" s="43" t="s">
        <v>153</v>
      </c>
      <c r="B15" s="37" t="str">
        <f>"03"</f>
        <v>03</v>
      </c>
      <c r="C15" s="36">
        <f>EOMONTH(DATE(2026,3,1),0)</f>
        <v>46112</v>
      </c>
      <c r="D15" s="1" t="str">
        <f>Darbuotojai!B13</f>
        <v>Darbuotojas 8</v>
      </c>
      <c r="E15" s="23">
        <f>VLOOKUP(D15,Darbuotojai!$B$6:$D$20,3,FALSE)</f>
        <v>1199</v>
      </c>
      <c r="F15" s="35">
        <f>VLOOKUP(D15,Darbuotojai!$B$6:$E$20,4,FALSE)</f>
        <v>6.8125</v>
      </c>
      <c r="G15" s="23">
        <f>NETWORKDAYS(DATE(2026,3,1),DATE(2026,3,31),DATE(2026,3,11))</f>
        <v>21</v>
      </c>
      <c r="H15" s="23">
        <f ca="1">RANDBETWEEN(15,G15)</f>
        <v>19</v>
      </c>
      <c r="I15" s="23">
        <f ca="1">H15*8</f>
        <v>152</v>
      </c>
      <c r="J15" s="35">
        <f ca="1">E15*'Darbo užmokestis'!H17/'Darbo užmokestis'!G17</f>
        <v>1027.7142857142858</v>
      </c>
      <c r="K15" s="35">
        <f ca="1">IF(G15=H15,50,0)</f>
        <v>0</v>
      </c>
      <c r="L15" s="35">
        <f ca="1">IF(G15-H15&gt;4,8*F15*(G15-H15),0)</f>
        <v>0</v>
      </c>
      <c r="M15" s="35">
        <v>0</v>
      </c>
      <c r="N15" s="35">
        <f ca="1">IF(G15-H15&lt;=4,F15*8*RANDBETWEEN(1,2),0)</f>
        <v>54.5</v>
      </c>
      <c r="O15" s="35">
        <f ca="1">J15+K15+L15+M15+N15</f>
        <v>1082.2142857142858</v>
      </c>
      <c r="P15" s="35">
        <f ca="1">IF(IF(O15&lt;=730,460,IF(O15&lt;1678,460-0.26*O15,IF(O15&gt;1678,460-0.18*O15)))&gt;0,IF(O15&lt;=730,460,IF(O15&lt;1678,460-0.26*O15,IF(O15&gt;1678,460-0.18*O15))),0)</f>
        <v>178.62428571428569</v>
      </c>
      <c r="Q15" s="35">
        <f ca="1">(O15-P15)*20%</f>
        <v>180.71800000000005</v>
      </c>
      <c r="R15" s="35">
        <f ca="1">(O15-N15)*14.29%</f>
        <v>146.86037142857143</v>
      </c>
      <c r="S15" s="35">
        <f ca="1">O15*6.98%</f>
        <v>75.538557142857144</v>
      </c>
      <c r="T15" s="35">
        <f ca="1">J15*3%</f>
        <v>30.831428571428571</v>
      </c>
      <c r="U15" s="35">
        <f ca="1">SUM(P15:S15)</f>
        <v>581.74121428571425</v>
      </c>
      <c r="V15" s="35">
        <f ca="1">O15-U15</f>
        <v>500.47307142857153</v>
      </c>
      <c r="W15" s="35">
        <f ca="1">O15*1.77%</f>
        <v>19.155192857142858</v>
      </c>
      <c r="X15" s="35">
        <f ca="1">VLOOKUP(D15,Darbuotojai!B13:F27,5,FALSE)</f>
        <v>200</v>
      </c>
      <c r="Y15" s="44">
        <f ca="1">V15+X15</f>
        <v>700.47307142857153</v>
      </c>
    </row>
    <row r="16" spans="1:25" x14ac:dyDescent="0.25">
      <c r="A16" s="43" t="s">
        <v>153</v>
      </c>
      <c r="B16" s="37" t="str">
        <f>"03"</f>
        <v>03</v>
      </c>
      <c r="C16" s="36">
        <f>EOMONTH(DATE(2026,3,1),0)</f>
        <v>46112</v>
      </c>
      <c r="D16" s="1" t="str">
        <f>Darbuotojai!B7</f>
        <v>Darbuotojas 2</v>
      </c>
      <c r="E16" s="23">
        <f>VLOOKUP(D16,Darbuotojai!$B$6:$D$20,3,FALSE)</f>
        <v>1090</v>
      </c>
      <c r="F16" s="35">
        <f>VLOOKUP(D16,Darbuotojai!$B$6:$E$20,4,FALSE)</f>
        <v>6.1931818181818183</v>
      </c>
      <c r="G16" s="23">
        <f>NETWORKDAYS(DATE(2026,3,1),DATE(2026,3,31),DATE(2026,3,11))</f>
        <v>21</v>
      </c>
      <c r="H16" s="23">
        <f ca="1">RANDBETWEEN(15,G16)</f>
        <v>17</v>
      </c>
      <c r="I16" s="23">
        <f ca="1">H16*8</f>
        <v>136</v>
      </c>
      <c r="J16" s="35">
        <f ca="1">E16*'Darbo užmokestis'!H11/'Darbo užmokestis'!G11</f>
        <v>778.57142857142856</v>
      </c>
      <c r="K16" s="35">
        <f ca="1">IF(G16=H16,50,0)</f>
        <v>0</v>
      </c>
      <c r="L16" s="35">
        <f ca="1">IF(G16-H16&gt;4,8*F16*(G16-H16),0)</f>
        <v>0</v>
      </c>
      <c r="M16" s="35">
        <v>0</v>
      </c>
      <c r="N16" s="35">
        <f ca="1">IF(G16-H16&lt;=4,F16*8*RANDBETWEEN(1,2),0)</f>
        <v>99.090909090909093</v>
      </c>
      <c r="O16" s="35">
        <f ca="1">J16+K16+L16+M16+N16</f>
        <v>877.66233766233768</v>
      </c>
      <c r="P16" s="35">
        <f ca="1">IF(IF(O16&lt;=730,460,IF(O16&lt;1678,460-0.26*O16,IF(O16&gt;1678,460-0.18*O16)))&gt;0,IF(O16&lt;=730,460,IF(O16&lt;1678,460-0.26*O16,IF(O16&gt;1678,460-0.18*O16))),0)</f>
        <v>231.8077922077922</v>
      </c>
      <c r="Q16" s="35">
        <f ca="1">(O16-P16)*20%</f>
        <v>129.17090909090911</v>
      </c>
      <c r="R16" s="35">
        <f ca="1">(O16-N16)*14.29%</f>
        <v>111.25785714285713</v>
      </c>
      <c r="S16" s="35">
        <f ca="1">O16*6.98%</f>
        <v>61.260831168831167</v>
      </c>
      <c r="T16" s="35">
        <f ca="1">J16*3%</f>
        <v>23.357142857142854</v>
      </c>
      <c r="U16" s="35">
        <f ca="1">SUM(P16:S16)</f>
        <v>533.49738961038963</v>
      </c>
      <c r="V16" s="35">
        <f ca="1">O16-U16</f>
        <v>344.16494805194804</v>
      </c>
      <c r="W16" s="35">
        <f ca="1">O16*1.77%</f>
        <v>15.534623376623378</v>
      </c>
      <c r="X16" s="35">
        <f ca="1">VLOOKUP(D16,Darbuotojai!B7:F21,5,FALSE)</f>
        <v>200</v>
      </c>
      <c r="Y16" s="44">
        <f ca="1">V16+X16</f>
        <v>544.16494805194804</v>
      </c>
    </row>
    <row r="17" spans="1:25" x14ac:dyDescent="0.25">
      <c r="A17" s="43" t="s">
        <v>153</v>
      </c>
      <c r="B17" s="37" t="str">
        <f>"03"</f>
        <v>03</v>
      </c>
      <c r="C17" s="36">
        <f>EOMONTH(DATE(2026,3,1),0)</f>
        <v>46112</v>
      </c>
      <c r="D17" s="1" t="str">
        <f>Darbuotojai!B11</f>
        <v>Darbuotojas 6</v>
      </c>
      <c r="E17" s="23">
        <f>VLOOKUP(D17,Darbuotojai!$B$6:$D$20,3,FALSE)</f>
        <v>1090</v>
      </c>
      <c r="F17" s="35">
        <f>VLOOKUP(D17,Darbuotojai!$B$6:$E$20,4,FALSE)</f>
        <v>6.1931818181818183</v>
      </c>
      <c r="G17" s="23">
        <f>NETWORKDAYS(DATE(2026,3,1),DATE(2026,3,31),DATE(2026,3,11))</f>
        <v>21</v>
      </c>
      <c r="H17" s="23">
        <f ca="1">RANDBETWEEN(15,G17)</f>
        <v>18</v>
      </c>
      <c r="I17" s="23">
        <f ca="1">H17*8</f>
        <v>144</v>
      </c>
      <c r="J17" s="35">
        <f ca="1">E17*'Darbo užmokestis'!H15/'Darbo užmokestis'!G15</f>
        <v>986.19047619047615</v>
      </c>
      <c r="K17" s="35">
        <f ca="1">IF(G17=H17,50,0)</f>
        <v>0</v>
      </c>
      <c r="L17" s="35">
        <f ca="1">IF(G17-H17&gt;4,8*F17*(G17-H17),0)</f>
        <v>0</v>
      </c>
      <c r="M17" s="35">
        <v>0</v>
      </c>
      <c r="N17" s="35">
        <f ca="1">IF(G17-H17&lt;=4,F17*8*RANDBETWEEN(1,2),0)</f>
        <v>49.545454545454547</v>
      </c>
      <c r="O17" s="35">
        <f ca="1">J17+K17+L17+M17+N17</f>
        <v>1035.7359307359307</v>
      </c>
      <c r="P17" s="35">
        <f ca="1">IF(IF(O17&lt;=730,460,IF(O17&lt;1678,460-0.26*O17,IF(O17&gt;1678,460-0.18*O17)))&gt;0,IF(O17&lt;=730,460,IF(O17&lt;1678,460-0.26*O17,IF(O17&gt;1678,460-0.18*O17))),0)</f>
        <v>190.70865800865801</v>
      </c>
      <c r="Q17" s="35">
        <f ca="1">(O17-P17)*20%</f>
        <v>169.00545454545454</v>
      </c>
      <c r="R17" s="35">
        <f ca="1">(O17-N17)*14.29%</f>
        <v>140.92661904761903</v>
      </c>
      <c r="S17" s="35">
        <f ca="1">O17*6.98%</f>
        <v>72.294367965367954</v>
      </c>
      <c r="T17" s="35">
        <f ca="1">J17*3%</f>
        <v>29.585714285714282</v>
      </c>
      <c r="U17" s="35">
        <f ca="1">SUM(P17:S17)</f>
        <v>572.93509956709954</v>
      </c>
      <c r="V17" s="35">
        <f ca="1">O17-U17</f>
        <v>462.80083116883111</v>
      </c>
      <c r="W17" s="35">
        <f ca="1">O17*1.77%</f>
        <v>18.332525974025973</v>
      </c>
      <c r="X17" s="35">
        <f ca="1">VLOOKUP(D17,Darbuotojai!B11:F25,5,FALSE)</f>
        <v>200</v>
      </c>
      <c r="Y17" s="44">
        <f ca="1">V17+X17</f>
        <v>662.80083116883111</v>
      </c>
    </row>
    <row r="18" spans="1:25" x14ac:dyDescent="0.25">
      <c r="A18" s="43" t="s">
        <v>153</v>
      </c>
      <c r="B18" s="37" t="str">
        <f>"03"</f>
        <v>03</v>
      </c>
      <c r="C18" s="36">
        <f>EOMONTH(DATE(2026,3,1),0)</f>
        <v>46112</v>
      </c>
      <c r="D18" s="1" t="str">
        <f>Darbuotojai!B8</f>
        <v>Darbuotojas 3</v>
      </c>
      <c r="E18" s="23">
        <f>VLOOKUP(D18,Darbuotojai!$B$6:$D$20,3,FALSE)</f>
        <v>980</v>
      </c>
      <c r="F18" s="35">
        <f>VLOOKUP(D18,Darbuotojai!$B$6:$E$20,4,FALSE)</f>
        <v>5.5681818181818183</v>
      </c>
      <c r="G18" s="23">
        <f>NETWORKDAYS(DATE(2026,3,1),DATE(2026,3,31),DATE(2026,3,11))</f>
        <v>21</v>
      </c>
      <c r="H18" s="23">
        <f ca="1">RANDBETWEEN(15,G18)</f>
        <v>15</v>
      </c>
      <c r="I18" s="23">
        <f ca="1">H18*8</f>
        <v>120</v>
      </c>
      <c r="J18" s="35">
        <f ca="1">E18*'Darbo užmokestis'!H12/'Darbo užmokestis'!G12</f>
        <v>980</v>
      </c>
      <c r="K18" s="35">
        <f ca="1">IF(G18=H18,50,0)</f>
        <v>0</v>
      </c>
      <c r="L18" s="35">
        <f ca="1">IF(G18-H18&gt;4,8*F18*(G18-H18),0)</f>
        <v>267.27272727272725</v>
      </c>
      <c r="M18" s="35">
        <v>0</v>
      </c>
      <c r="N18" s="35">
        <f ca="1">IF(G18-H18&lt;=4,F18*8*RANDBETWEEN(1,2),0)</f>
        <v>0</v>
      </c>
      <c r="O18" s="35">
        <f ca="1">J18+K18+L18+M18+N18</f>
        <v>1247.2727272727273</v>
      </c>
      <c r="P18" s="35">
        <f ca="1">IF(IF(O18&lt;=730,460,IF(O18&lt;1678,460-0.26*O18,IF(O18&gt;1678,460-0.18*O18)))&gt;0,IF(O18&lt;=730,460,IF(O18&lt;1678,460-0.26*O18,IF(O18&gt;1678,460-0.18*O18))),0)</f>
        <v>135.70909090909089</v>
      </c>
      <c r="Q18" s="35">
        <f ca="1">(O18-P18)*20%</f>
        <v>222.31272727272727</v>
      </c>
      <c r="R18" s="35">
        <f ca="1">(O18-N18)*14.29%</f>
        <v>178.23527272727273</v>
      </c>
      <c r="S18" s="35">
        <f ca="1">O18*6.98%</f>
        <v>87.059636363636358</v>
      </c>
      <c r="T18" s="35">
        <f ca="1">J18*3%</f>
        <v>29.4</v>
      </c>
      <c r="U18" s="35">
        <f ca="1">SUM(P18:S18)</f>
        <v>623.31672727272735</v>
      </c>
      <c r="V18" s="35">
        <f ca="1">O18-U18</f>
        <v>623.9559999999999</v>
      </c>
      <c r="W18" s="35">
        <f ca="1">O18*1.77%</f>
        <v>22.076727272727272</v>
      </c>
      <c r="X18" s="35">
        <f ca="1">VLOOKUP(D18,Darbuotojai!B8:F22,5,FALSE)</f>
        <v>200</v>
      </c>
      <c r="Y18" s="44">
        <f ca="1">V18+X18</f>
        <v>823.9559999999999</v>
      </c>
    </row>
    <row r="19" spans="1:25" x14ac:dyDescent="0.25">
      <c r="A19" s="43" t="s">
        <v>153</v>
      </c>
      <c r="B19" s="37" t="str">
        <f>"03"</f>
        <v>03</v>
      </c>
      <c r="C19" s="36">
        <f>EOMONTH(DATE(2026,3,1),0)</f>
        <v>46112</v>
      </c>
      <c r="D19" s="1" t="str">
        <f>Darbuotojai!B9</f>
        <v>Darbuotojas 4</v>
      </c>
      <c r="E19" s="23">
        <f>VLOOKUP(D19,Darbuotojai!$B$6:$D$20,3,FALSE)</f>
        <v>980</v>
      </c>
      <c r="F19" s="35">
        <f>VLOOKUP(D19,Darbuotojai!$B$6:$E$20,4,FALSE)</f>
        <v>5.5681818181818183</v>
      </c>
      <c r="G19" s="23">
        <f>NETWORKDAYS(DATE(2026,3,1),DATE(2026,3,31),DATE(2026,3,11))</f>
        <v>21</v>
      </c>
      <c r="H19" s="23">
        <f ca="1">RANDBETWEEN(15,G19)</f>
        <v>16</v>
      </c>
      <c r="I19" s="23">
        <f ca="1">H19*8</f>
        <v>128</v>
      </c>
      <c r="J19" s="35">
        <f ca="1">E19*'Darbo užmokestis'!H13/'Darbo užmokestis'!G13</f>
        <v>746.66666666666663</v>
      </c>
      <c r="K19" s="35">
        <f ca="1">IF(G19=H19,50,0)</f>
        <v>0</v>
      </c>
      <c r="L19" s="35">
        <f ca="1">IF(G19-H19&gt;4,8*F19*(G19-H19),0)</f>
        <v>222.72727272727275</v>
      </c>
      <c r="M19" s="35">
        <v>0</v>
      </c>
      <c r="N19" s="35">
        <f ca="1">IF(G19-H19&lt;=4,F19*8*RANDBETWEEN(1,2),0)</f>
        <v>0</v>
      </c>
      <c r="O19" s="35">
        <f ca="1">J19+K19+L19+M19+N19</f>
        <v>969.39393939393938</v>
      </c>
      <c r="P19" s="35">
        <f ca="1">IF(IF(O19&lt;=730,460,IF(O19&lt;1678,460-0.26*O19,IF(O19&gt;1678,460-0.18*O19)))&gt;0,IF(O19&lt;=730,460,IF(O19&lt;1678,460-0.26*O19,IF(O19&gt;1678,460-0.18*O19))),0)</f>
        <v>207.95757575757574</v>
      </c>
      <c r="Q19" s="35">
        <f ca="1">(O19-P19)*20%</f>
        <v>152.28727272727275</v>
      </c>
      <c r="R19" s="35">
        <f ca="1">(O19-N19)*14.29%</f>
        <v>138.52639393939393</v>
      </c>
      <c r="S19" s="35">
        <f ca="1">O19*6.98%</f>
        <v>67.663696969696971</v>
      </c>
      <c r="T19" s="35">
        <f ca="1">J19*3%</f>
        <v>22.4</v>
      </c>
      <c r="U19" s="35">
        <f ca="1">SUM(P19:S19)</f>
        <v>566.43493939393943</v>
      </c>
      <c r="V19" s="35">
        <f ca="1">O19-U19</f>
        <v>402.95899999999995</v>
      </c>
      <c r="W19" s="35">
        <f ca="1">O19*1.77%</f>
        <v>17.158272727272728</v>
      </c>
      <c r="X19" s="35">
        <f ca="1">VLOOKUP(D19,Darbuotojai!B9:F23,5,FALSE)</f>
        <v>150</v>
      </c>
      <c r="Y19" s="44">
        <f ca="1">V19+X19</f>
        <v>552.95899999999995</v>
      </c>
    </row>
    <row r="20" spans="1:25" x14ac:dyDescent="0.25">
      <c r="A20" s="43" t="s">
        <v>153</v>
      </c>
      <c r="B20" s="37" t="str">
        <f>"03"</f>
        <v>03</v>
      </c>
      <c r="C20" s="36">
        <f>EOMONTH(DATE(2026,3,1),0)</f>
        <v>46112</v>
      </c>
      <c r="D20" s="1" t="str">
        <f>Darbuotojai!B10</f>
        <v>Darbuotojas 5</v>
      </c>
      <c r="E20" s="23">
        <f>VLOOKUP(D20,Darbuotojai!$B$6:$D$20,3,FALSE)</f>
        <v>980</v>
      </c>
      <c r="F20" s="35">
        <f>VLOOKUP(D20,Darbuotojai!$B$6:$E$20,4,FALSE)</f>
        <v>5.5681818181818183</v>
      </c>
      <c r="G20" s="23">
        <f>NETWORKDAYS(DATE(2026,3,1),DATE(2026,3,31),DATE(2026,3,11))</f>
        <v>21</v>
      </c>
      <c r="H20" s="23">
        <f ca="1">RANDBETWEEN(15,G20)</f>
        <v>15</v>
      </c>
      <c r="I20" s="23">
        <f ca="1">H20*8</f>
        <v>120</v>
      </c>
      <c r="J20" s="35">
        <f ca="1">E20*'Darbo užmokestis'!H14/'Darbo užmokestis'!G14</f>
        <v>980</v>
      </c>
      <c r="K20" s="35">
        <f ca="1">IF(G20=H20,50,0)</f>
        <v>0</v>
      </c>
      <c r="L20" s="35">
        <f ca="1">IF(G20-H20&gt;4,8*F20*(G20-H20),0)</f>
        <v>267.27272727272725</v>
      </c>
      <c r="M20" s="35">
        <v>0</v>
      </c>
      <c r="N20" s="35">
        <f ca="1">IF(G20-H20&lt;=4,F20*8*RANDBETWEEN(1,2),0)</f>
        <v>0</v>
      </c>
      <c r="O20" s="35">
        <f ca="1">J20+K20+L20+M20+N20</f>
        <v>1247.2727272727273</v>
      </c>
      <c r="P20" s="35">
        <f ca="1">IF(IF(O20&lt;=730,460,IF(O20&lt;1678,460-0.26*O20,IF(O20&gt;1678,460-0.18*O20)))&gt;0,IF(O20&lt;=730,460,IF(O20&lt;1678,460-0.26*O20,IF(O20&gt;1678,460-0.18*O20))),0)</f>
        <v>135.70909090909089</v>
      </c>
      <c r="Q20" s="35">
        <f ca="1">(O20-P20)*20%</f>
        <v>222.31272727272727</v>
      </c>
      <c r="R20" s="35">
        <f ca="1">(O20-N20)*14.29%</f>
        <v>178.23527272727273</v>
      </c>
      <c r="S20" s="35">
        <f ca="1">O20*6.98%</f>
        <v>87.059636363636358</v>
      </c>
      <c r="T20" s="35">
        <f ca="1">J20*3%</f>
        <v>29.4</v>
      </c>
      <c r="U20" s="35">
        <f ca="1">SUM(P20:S20)</f>
        <v>623.31672727272735</v>
      </c>
      <c r="V20" s="35">
        <f ca="1">O20-U20</f>
        <v>623.9559999999999</v>
      </c>
      <c r="W20" s="35">
        <f ca="1">O20*1.77%</f>
        <v>22.076727272727272</v>
      </c>
      <c r="X20" s="35">
        <f ca="1">VLOOKUP(D20,Darbuotojai!B10:F24,5,FALSE)</f>
        <v>200</v>
      </c>
      <c r="Y20" s="44">
        <f ca="1">V20+X20</f>
        <v>823.9559999999999</v>
      </c>
    </row>
    <row r="21" spans="1:25" x14ac:dyDescent="0.25">
      <c r="A21" s="43" t="s">
        <v>153</v>
      </c>
      <c r="B21" s="37" t="str">
        <f>"03"</f>
        <v>03</v>
      </c>
      <c r="C21" s="36">
        <f>EOMONTH(DATE(2026,3,1),0)</f>
        <v>46112</v>
      </c>
      <c r="D21" s="1" t="str">
        <f>Darbuotojai!B15</f>
        <v>Darbuotojas 10</v>
      </c>
      <c r="E21" s="23">
        <f>VLOOKUP(D21,Darbuotojai!$B$6:$D$20,3,FALSE)</f>
        <v>980</v>
      </c>
      <c r="F21" s="35">
        <f>VLOOKUP(D21,Darbuotojai!$B$6:$E$20,4,FALSE)</f>
        <v>5.5681818181818183</v>
      </c>
      <c r="G21" s="23">
        <f>NETWORKDAYS(DATE(2026,3,1),DATE(2026,3,31),DATE(2026,3,11))</f>
        <v>21</v>
      </c>
      <c r="H21" s="23">
        <f ca="1">RANDBETWEEN(15,G21)</f>
        <v>18</v>
      </c>
      <c r="I21" s="23">
        <f ca="1">H21*8</f>
        <v>144</v>
      </c>
      <c r="J21" s="35">
        <f ca="1">E21*'Darbo užmokestis'!H19/'Darbo užmokestis'!G19</f>
        <v>746.66666666666663</v>
      </c>
      <c r="K21" s="35">
        <f ca="1">IF(G21=H21,50,0)</f>
        <v>0</v>
      </c>
      <c r="L21" s="35">
        <f ca="1">IF(G21-H21&gt;4,8*F21*(G21-H21),0)</f>
        <v>0</v>
      </c>
      <c r="M21" s="35">
        <v>0</v>
      </c>
      <c r="N21" s="35">
        <f ca="1">IF(G21-H21&lt;=4,F21*8*RANDBETWEEN(1,2),0)</f>
        <v>89.090909090909093</v>
      </c>
      <c r="O21" s="35">
        <f ca="1">J21+K21+L21+M21+N21</f>
        <v>835.75757575757575</v>
      </c>
      <c r="P21" s="35">
        <f ca="1">IF(IF(O21&lt;=730,460,IF(O21&lt;1678,460-0.26*O21,IF(O21&gt;1678,460-0.18*O21)))&gt;0,IF(O21&lt;=730,460,IF(O21&lt;1678,460-0.26*O21,IF(O21&gt;1678,460-0.18*O21))),0)</f>
        <v>242.70303030303029</v>
      </c>
      <c r="Q21" s="35">
        <f ca="1">(O21-P21)*20%</f>
        <v>118.61090909090909</v>
      </c>
      <c r="R21" s="35">
        <f ca="1">(O21-N21)*14.29%</f>
        <v>106.69866666666665</v>
      </c>
      <c r="S21" s="35">
        <f ca="1">O21*6.98%</f>
        <v>58.335878787878791</v>
      </c>
      <c r="T21" s="35">
        <f ca="1">J21*3%</f>
        <v>22.4</v>
      </c>
      <c r="U21" s="35">
        <f ca="1">SUM(P21:S21)</f>
        <v>526.34848484848487</v>
      </c>
      <c r="V21" s="35">
        <f ca="1">O21-U21</f>
        <v>309.40909090909088</v>
      </c>
      <c r="W21" s="35">
        <f ca="1">O21*1.77%</f>
        <v>14.792909090909092</v>
      </c>
      <c r="X21" s="35">
        <f ca="1">VLOOKUP(D21,Darbuotojai!B15:F29,5,FALSE)</f>
        <v>200</v>
      </c>
      <c r="Y21" s="44">
        <f ca="1">V21+X21</f>
        <v>509.40909090909088</v>
      </c>
    </row>
    <row r="22" spans="1:25" x14ac:dyDescent="0.25">
      <c r="A22" s="43" t="s">
        <v>153</v>
      </c>
      <c r="B22" s="37" t="str">
        <f>"03"</f>
        <v>03</v>
      </c>
      <c r="C22" s="36">
        <f>EOMONTH(DATE(2026,3,1),0)</f>
        <v>46112</v>
      </c>
      <c r="D22" s="1" t="str">
        <f>Darbuotojai!B16</f>
        <v>Darbuotojas 11</v>
      </c>
      <c r="E22" s="23">
        <f>VLOOKUP(D22,Darbuotojai!$B$6:$D$20,3,FALSE)</f>
        <v>980</v>
      </c>
      <c r="F22" s="35">
        <f>VLOOKUP(D22,Darbuotojai!$B$6:$E$20,4,FALSE)</f>
        <v>5.5681818181818183</v>
      </c>
      <c r="G22" s="23">
        <f>NETWORKDAYS(DATE(2026,3,1),DATE(2026,3,31),DATE(2026,3,11))</f>
        <v>21</v>
      </c>
      <c r="H22" s="23">
        <f ca="1">RANDBETWEEN(15,G22)</f>
        <v>15</v>
      </c>
      <c r="I22" s="23">
        <f ca="1">H22*8</f>
        <v>120</v>
      </c>
      <c r="J22" s="35">
        <f ca="1">E22*'Darbo užmokestis'!H20/'Darbo užmokestis'!G20</f>
        <v>700</v>
      </c>
      <c r="K22" s="35">
        <f ca="1">IF(G22=H22,50,0)</f>
        <v>0</v>
      </c>
      <c r="L22" s="35">
        <f ca="1">IF(G22-H22&gt;4,8*F22*(G22-H22),0)</f>
        <v>267.27272727272725</v>
      </c>
      <c r="M22" s="35">
        <v>0</v>
      </c>
      <c r="N22" s="35">
        <f ca="1">IF(G22-H22&lt;=4,F22*8*RANDBETWEEN(1,2),0)</f>
        <v>0</v>
      </c>
      <c r="O22" s="35">
        <f ca="1">J22+K22+L22+M22+N22</f>
        <v>967.27272727272725</v>
      </c>
      <c r="P22" s="35">
        <f ca="1">IF(IF(O22&lt;=730,460,IF(O22&lt;1678,460-0.26*O22,IF(O22&gt;1678,460-0.18*O22)))&gt;0,IF(O22&lt;=730,460,IF(O22&lt;1678,460-0.26*O22,IF(O22&gt;1678,460-0.18*O22))),0)</f>
        <v>208.5090909090909</v>
      </c>
      <c r="Q22" s="35">
        <f ca="1">(O22-P22)*20%</f>
        <v>151.75272727272727</v>
      </c>
      <c r="R22" s="35">
        <f ca="1">(O22-N22)*14.29%</f>
        <v>138.22327272727273</v>
      </c>
      <c r="S22" s="35">
        <f ca="1">O22*6.98%</f>
        <v>67.515636363636361</v>
      </c>
      <c r="T22" s="35">
        <f ca="1">J22*3%</f>
        <v>21</v>
      </c>
      <c r="U22" s="35">
        <f ca="1">SUM(P22:S22)</f>
        <v>566.00072727272732</v>
      </c>
      <c r="V22" s="35">
        <f ca="1">O22-U22</f>
        <v>401.27199999999993</v>
      </c>
      <c r="W22" s="35">
        <f ca="1">O22*1.77%</f>
        <v>17.120727272727272</v>
      </c>
      <c r="X22" s="35">
        <f ca="1">VLOOKUP(D22,Darbuotojai!B16:F30,5,FALSE)</f>
        <v>150</v>
      </c>
      <c r="Y22" s="44">
        <f ca="1">V22+X22</f>
        <v>551.27199999999993</v>
      </c>
    </row>
    <row r="23" spans="1:25" x14ac:dyDescent="0.25">
      <c r="A23" s="43" t="s">
        <v>153</v>
      </c>
      <c r="B23" s="37" t="str">
        <f>"03"</f>
        <v>03</v>
      </c>
      <c r="C23" s="36">
        <f>EOMONTH(DATE(2026,3,1),0)</f>
        <v>46112</v>
      </c>
      <c r="D23" s="1" t="str">
        <f>Darbuotojai!B17</f>
        <v>Darbuotojas 12</v>
      </c>
      <c r="E23" s="23">
        <f>VLOOKUP(D23,Darbuotojai!$B$6:$D$20,3,FALSE)</f>
        <v>980</v>
      </c>
      <c r="F23" s="35">
        <f>VLOOKUP(D23,Darbuotojai!$B$6:$E$20,4,FALSE)</f>
        <v>5.5681818181818183</v>
      </c>
      <c r="G23" s="23">
        <f>NETWORKDAYS(DATE(2026,3,1),DATE(2026,3,31),DATE(2026,3,11))</f>
        <v>21</v>
      </c>
      <c r="H23" s="23">
        <f ca="1">RANDBETWEEN(15,G23)</f>
        <v>19</v>
      </c>
      <c r="I23" s="23">
        <f ca="1">H23*8</f>
        <v>152</v>
      </c>
      <c r="J23" s="35">
        <f ca="1">E23*'Darbo užmokestis'!H21/'Darbo užmokestis'!G21</f>
        <v>840</v>
      </c>
      <c r="K23" s="35">
        <f ca="1">IF(G23=H23,50,0)</f>
        <v>0</v>
      </c>
      <c r="L23" s="35">
        <f ca="1">IF(G23-H23&gt;4,8*F23*(G23-H23),0)</f>
        <v>0</v>
      </c>
      <c r="M23" s="35">
        <v>0</v>
      </c>
      <c r="N23" s="35">
        <f ca="1">IF(G23-H23&lt;=4,F23*8*RANDBETWEEN(1,2),0)</f>
        <v>89.090909090909093</v>
      </c>
      <c r="O23" s="35">
        <f ca="1">J23+K23+L23+M23+N23</f>
        <v>929.09090909090912</v>
      </c>
      <c r="P23" s="35">
        <f ca="1">IF(IF(O23&lt;=730,460,IF(O23&lt;1678,460-0.26*O23,IF(O23&gt;1678,460-0.18*O23)))&gt;0,IF(O23&lt;=730,460,IF(O23&lt;1678,460-0.26*O23,IF(O23&gt;1678,460-0.18*O23))),0)</f>
        <v>218.43636363636361</v>
      </c>
      <c r="Q23" s="35">
        <f ca="1">(O23-P23)*20%</f>
        <v>142.13090909090911</v>
      </c>
      <c r="R23" s="35">
        <f ca="1">(O23-N23)*14.29%</f>
        <v>120.036</v>
      </c>
      <c r="S23" s="35">
        <f ca="1">O23*6.98%</f>
        <v>64.850545454545454</v>
      </c>
      <c r="T23" s="35">
        <f ca="1">J23*3%</f>
        <v>25.2</v>
      </c>
      <c r="U23" s="35">
        <f ca="1">SUM(P23:S23)</f>
        <v>545.45381818181818</v>
      </c>
      <c r="V23" s="35">
        <f ca="1">O23-U23</f>
        <v>383.63709090909094</v>
      </c>
      <c r="W23" s="35">
        <f ca="1">O23*1.77%</f>
        <v>16.444909090909093</v>
      </c>
      <c r="X23" s="35">
        <f ca="1">VLOOKUP(D23,Darbuotojai!B17:F31,5,FALSE)</f>
        <v>150</v>
      </c>
      <c r="Y23" s="44">
        <f ca="1">V23+X23</f>
        <v>533.63709090909094</v>
      </c>
    </row>
    <row r="24" spans="1:25" x14ac:dyDescent="0.25">
      <c r="A24" s="48" t="s">
        <v>153</v>
      </c>
      <c r="B24" s="49" t="str">
        <f>"03"</f>
        <v>03</v>
      </c>
      <c r="C24" s="50">
        <f>EOMONTH(DATE(2026,3,1),0)</f>
        <v>46112</v>
      </c>
      <c r="D24" s="51" t="str">
        <f>Darbuotojai!B18</f>
        <v>Darbuotojas 13</v>
      </c>
      <c r="E24" s="52">
        <f>VLOOKUP(D24,Darbuotojai!$B$6:$D$20,3,FALSE)</f>
        <v>980</v>
      </c>
      <c r="F24" s="53">
        <f>VLOOKUP(D24,Darbuotojai!$B$6:$E$20,4,FALSE)</f>
        <v>5.5681818181818183</v>
      </c>
      <c r="G24" s="52">
        <f>NETWORKDAYS(DATE(2026,3,1),DATE(2026,3,31),DATE(2026,3,11))</f>
        <v>21</v>
      </c>
      <c r="H24" s="52">
        <f ca="1">RANDBETWEEN(15,G24)</f>
        <v>21</v>
      </c>
      <c r="I24" s="52">
        <f ca="1">H24*8</f>
        <v>168</v>
      </c>
      <c r="J24" s="53">
        <f ca="1">E24*'Darbo užmokestis'!H22/'Darbo užmokestis'!G22</f>
        <v>700</v>
      </c>
      <c r="K24" s="53">
        <f ca="1">IF(G24=H24,50,0)</f>
        <v>50</v>
      </c>
      <c r="L24" s="53">
        <f ca="1">IF(G24-H24&gt;4,8*F24*(G24-H24),0)</f>
        <v>0</v>
      </c>
      <c r="M24" s="53">
        <v>0</v>
      </c>
      <c r="N24" s="53">
        <f ca="1">IF(G24-H24&lt;=4,F24*8*RANDBETWEEN(1,2),0)</f>
        <v>44.545454545454547</v>
      </c>
      <c r="O24" s="53">
        <f ca="1">J24+K24+L24+M24+N24</f>
        <v>794.5454545454545</v>
      </c>
      <c r="P24" s="53">
        <f ca="1">IF(IF(O24&lt;=730,460,IF(O24&lt;1678,460-0.26*O24,IF(O24&gt;1678,460-0.18*O24)))&gt;0,IF(O24&lt;=730,460,IF(O24&lt;1678,460-0.26*O24,IF(O24&gt;1678,460-0.18*O24))),0)</f>
        <v>253.41818181818184</v>
      </c>
      <c r="Q24" s="53">
        <f ca="1">(O24-P24)*20%</f>
        <v>108.22545454545453</v>
      </c>
      <c r="R24" s="53">
        <f ca="1">(O24-N24)*14.29%</f>
        <v>107.175</v>
      </c>
      <c r="S24" s="53">
        <f ca="1">O24*6.98%</f>
        <v>55.459272727272726</v>
      </c>
      <c r="T24" s="53">
        <f ca="1">J24*3%</f>
        <v>21</v>
      </c>
      <c r="U24" s="53">
        <f ca="1">SUM(P24:S24)</f>
        <v>524.27790909090913</v>
      </c>
      <c r="V24" s="53">
        <f ca="1">O24-U24</f>
        <v>270.26754545454537</v>
      </c>
      <c r="W24" s="53">
        <f ca="1">O24*1.77%</f>
        <v>14.063454545454546</v>
      </c>
      <c r="X24" s="53">
        <f ca="1">VLOOKUP(D24,Darbuotojai!B18:F32,5,FALSE)</f>
        <v>200</v>
      </c>
      <c r="Y24" s="54">
        <f ca="1">V24+X24</f>
        <v>470.26754545454537</v>
      </c>
    </row>
  </sheetData>
  <sortState xmlns:xlrd2="http://schemas.microsoft.com/office/spreadsheetml/2017/richdata2" ref="D10:Y24">
    <sortCondition descending="1" ref="E10:E24"/>
  </sortState>
  <mergeCells count="4">
    <mergeCell ref="J1:K1"/>
    <mergeCell ref="J2:K2"/>
    <mergeCell ref="N1:Q1"/>
    <mergeCell ref="N2:Q2"/>
  </mergeCells>
  <conditionalFormatting sqref="V10:V24">
    <cfRule type="top10" dxfId="0" priority="2" bottom="1" rank="5"/>
    <cfRule type="top10" priority="3" bottom="1" rank="5"/>
    <cfRule type="top10" dxfId="1" priority="1" bottom="1" rank="5"/>
  </conditionalFormatting>
  <pageMargins left="0.7" right="0.7" top="0.75" bottom="0.75" header="0.3" footer="0.3"/>
  <pageSetup paperSize="9" orientation="portrait" r:id="rId1"/>
  <ignoredErrors>
    <ignoredError sqref="D10" calculatedColumn="1"/>
  </ignoredError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8"/>
  <sheetViews>
    <sheetView workbookViewId="0">
      <selection activeCell="E6" sqref="E6"/>
    </sheetView>
  </sheetViews>
  <sheetFormatPr defaultRowHeight="15" x14ac:dyDescent="0.25"/>
  <cols>
    <col min="1" max="1" width="7.140625" customWidth="1"/>
    <col min="2" max="2" width="47.140625" customWidth="1"/>
    <col min="3" max="3" width="16.7109375" customWidth="1"/>
    <col min="4" max="4" width="13.7109375" customWidth="1"/>
    <col min="5" max="5" width="15.42578125" customWidth="1"/>
  </cols>
  <sheetData>
    <row r="3" spans="1:3" x14ac:dyDescent="0.25">
      <c r="A3" s="1">
        <v>1</v>
      </c>
      <c r="B3" s="1" t="s">
        <v>108</v>
      </c>
      <c r="C3" s="33">
        <f ca="1">COUNTIF(Lentelė1[[#All],[Faktiškai dirbta, d.]],"&gt;18")</f>
        <v>6</v>
      </c>
    </row>
    <row r="4" spans="1:3" ht="30" x14ac:dyDescent="0.25">
      <c r="A4" s="1">
        <v>2</v>
      </c>
      <c r="B4" s="28" t="s">
        <v>119</v>
      </c>
      <c r="C4" s="33">
        <f ca="1">SUMIF(Lentelė1[Faktiškai dirbta, d.],"&lt;18",Lentelė1[Išmokėtina suma, €])</f>
        <v>4172.5529686147183</v>
      </c>
    </row>
    <row r="5" spans="1:3" x14ac:dyDescent="0.25">
      <c r="A5" s="1">
        <v>3</v>
      </c>
      <c r="B5" s="1" t="s">
        <v>106</v>
      </c>
      <c r="C5" s="33">
        <f ca="1">AVERAGE(Lentelė1[Avansas, €])</f>
        <v>183.33333333333334</v>
      </c>
    </row>
    <row r="6" spans="1:3" ht="30" x14ac:dyDescent="0.25">
      <c r="A6" s="1">
        <v>4</v>
      </c>
      <c r="B6" s="28" t="s">
        <v>118</v>
      </c>
      <c r="C6" s="33">
        <f ca="1">AVERAGEIF(Lentelė1[Valandinis tarifinis atlygis, €],"&lt;8",Lentelė1[VSD įmoka, €])</f>
        <v>139.68162880755611</v>
      </c>
    </row>
    <row r="7" spans="1:3" x14ac:dyDescent="0.25">
      <c r="A7" s="1">
        <v>5</v>
      </c>
      <c r="B7" s="1" t="s">
        <v>107</v>
      </c>
      <c r="C7" s="33">
        <f ca="1">MEDIAN(Lentelė1[pritaikytas NPD, €])</f>
        <v>178.62428571428569</v>
      </c>
    </row>
    <row r="8" spans="1:3" x14ac:dyDescent="0.25">
      <c r="A8" s="1">
        <v>6</v>
      </c>
      <c r="B8" s="1" t="s">
        <v>109</v>
      </c>
      <c r="C8" s="33">
        <f ca="1">LARGE(Lentelė1[GPM, €],2)</f>
        <v>316.65800865800861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Užduotis</vt:lpstr>
      <vt:lpstr>Pareigybės</vt:lpstr>
      <vt:lpstr>Darbuotojai</vt:lpstr>
      <vt:lpstr>Darbo užmokestis</vt:lpstr>
      <vt:lpstr>suvestinė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Mokinys_12</cp:lastModifiedBy>
  <dcterms:created xsi:type="dcterms:W3CDTF">2018-12-13T14:39:32Z</dcterms:created>
  <dcterms:modified xsi:type="dcterms:W3CDTF">2026-05-08T06:30:27Z</dcterms:modified>
</cp:coreProperties>
</file>