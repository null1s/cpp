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0D829282-282F-45B5-A2D1-8729842CE46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areigybės" sheetId="5" r:id="rId1"/>
    <sheet name="Užduotis" sheetId="4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3" l="1"/>
  <c r="H10" i="3" s="1"/>
  <c r="I10" i="3" s="1"/>
  <c r="M11" i="3"/>
  <c r="M12" i="3"/>
  <c r="M13" i="3"/>
  <c r="M14" i="3"/>
  <c r="M15" i="3"/>
  <c r="M16" i="3"/>
  <c r="M17" i="3"/>
  <c r="M18" i="3"/>
  <c r="M19" i="3"/>
  <c r="M20" i="3"/>
  <c r="M21" i="3"/>
  <c r="M7" i="3" s="1"/>
  <c r="M22" i="3"/>
  <c r="M23" i="3"/>
  <c r="M24" i="3"/>
  <c r="M10" i="3"/>
  <c r="C10" i="3"/>
  <c r="G11" i="3"/>
  <c r="G12" i="3"/>
  <c r="G13" i="3"/>
  <c r="G14" i="3"/>
  <c r="G15" i="3"/>
  <c r="G16" i="3"/>
  <c r="G17" i="3"/>
  <c r="G18" i="3"/>
  <c r="G19" i="3"/>
  <c r="H19" i="3" s="1"/>
  <c r="I19" i="3" s="1"/>
  <c r="G20" i="3"/>
  <c r="H20" i="3" s="1"/>
  <c r="I20" i="3" s="1"/>
  <c r="G21" i="3"/>
  <c r="H21" i="3" s="1"/>
  <c r="I21" i="3" s="1"/>
  <c r="G22" i="3"/>
  <c r="H22" i="3" s="1"/>
  <c r="I22" i="3" s="1"/>
  <c r="G23" i="3"/>
  <c r="G24" i="3"/>
  <c r="H14" i="3"/>
  <c r="I14" i="3" s="1"/>
  <c r="H15" i="3"/>
  <c r="I15" i="3" s="1"/>
  <c r="H23" i="3"/>
  <c r="I23" i="3" s="1"/>
  <c r="H13" i="3"/>
  <c r="I13" i="3" s="1"/>
  <c r="H16" i="3"/>
  <c r="I16" i="3" s="1"/>
  <c r="H12" i="3"/>
  <c r="I12" i="3" s="1"/>
  <c r="H24" i="3"/>
  <c r="I24" i="3" s="1"/>
  <c r="H11" i="3"/>
  <c r="I11" i="3" s="1"/>
  <c r="H17" i="3"/>
  <c r="I17" i="3" s="1"/>
  <c r="H18" i="3"/>
  <c r="I18" i="3" s="1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10" i="3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F7" i="2"/>
  <c r="X11" i="3" s="1"/>
  <c r="F8" i="2"/>
  <c r="X12" i="3" s="1"/>
  <c r="F9" i="2"/>
  <c r="X13" i="3" s="1"/>
  <c r="F10" i="2"/>
  <c r="X14" i="3" s="1"/>
  <c r="F11" i="2"/>
  <c r="X15" i="3" s="1"/>
  <c r="F12" i="2"/>
  <c r="X16" i="3" s="1"/>
  <c r="F13" i="2"/>
  <c r="X17" i="3" s="1"/>
  <c r="F14" i="2"/>
  <c r="X18" i="3" s="1"/>
  <c r="F15" i="2"/>
  <c r="X19" i="3" s="1"/>
  <c r="F16" i="2"/>
  <c r="X20" i="3" s="1"/>
  <c r="F17" i="2"/>
  <c r="X21" i="3" s="1"/>
  <c r="F18" i="2"/>
  <c r="X22" i="3" s="1"/>
  <c r="F19" i="2"/>
  <c r="X23" i="3" s="1"/>
  <c r="F20" i="2"/>
  <c r="X24" i="3" s="1"/>
  <c r="F6" i="2"/>
  <c r="X10" i="3" s="1"/>
  <c r="D7" i="2" a="1"/>
  <c r="D7" i="2" s="1"/>
  <c r="E11" i="3" s="1"/>
  <c r="D8" i="2" a="1"/>
  <c r="D8" i="2" s="1"/>
  <c r="E8" i="2" s="1"/>
  <c r="F12" i="3" s="1"/>
  <c r="D9" i="2" a="1"/>
  <c r="D9" i="2" s="1"/>
  <c r="E9" i="2" s="1"/>
  <c r="F13" i="3" s="1"/>
  <c r="D10" i="2" a="1"/>
  <c r="D10" i="2" s="1"/>
  <c r="E10" i="2" s="1"/>
  <c r="F14" i="3" s="1"/>
  <c r="D11" i="2" a="1"/>
  <c r="D11" i="2" s="1"/>
  <c r="E15" i="3" s="1"/>
  <c r="D12" i="2" a="1"/>
  <c r="D12" i="2" s="1"/>
  <c r="E16" i="3" s="1"/>
  <c r="D13" i="2" a="1"/>
  <c r="D13" i="2" s="1"/>
  <c r="E13" i="2" s="1"/>
  <c r="F17" i="3" s="1"/>
  <c r="D14" i="2" a="1"/>
  <c r="D14" i="2" s="1"/>
  <c r="E18" i="3" s="1"/>
  <c r="D15" i="2" a="1"/>
  <c r="D15" i="2" s="1"/>
  <c r="E19" i="3" s="1"/>
  <c r="D16" i="2" a="1"/>
  <c r="D16" i="2" s="1"/>
  <c r="E16" i="2" s="1"/>
  <c r="F20" i="3" s="1"/>
  <c r="D17" i="2" a="1"/>
  <c r="D17" i="2" s="1"/>
  <c r="E17" i="2" s="1"/>
  <c r="F21" i="3" s="1"/>
  <c r="D18" i="2" a="1"/>
  <c r="D18" i="2" s="1"/>
  <c r="E22" i="3" s="1"/>
  <c r="D19" i="2" a="1"/>
  <c r="D19" i="2" s="1"/>
  <c r="E23" i="3" s="1"/>
  <c r="D20" i="2" a="1"/>
  <c r="D20" i="2" s="1"/>
  <c r="E20" i="2" s="1"/>
  <c r="F24" i="3" s="1"/>
  <c r="D6" i="2" a="1"/>
  <c r="D6" i="2" s="1"/>
  <c r="E6" i="2" s="1"/>
  <c r="F10" i="3" s="1"/>
  <c r="A8" i="2"/>
  <c r="A9" i="2"/>
  <c r="A10" i="2"/>
  <c r="A11" i="2"/>
  <c r="A12" i="2"/>
  <c r="A13" i="2"/>
  <c r="A14" i="2" s="1"/>
  <c r="A15" i="2" s="1"/>
  <c r="A16" i="2" s="1"/>
  <c r="A17" i="2" s="1"/>
  <c r="A18" i="2" s="1"/>
  <c r="A19" i="2" s="1"/>
  <c r="A20" i="2" s="1"/>
  <c r="A7" i="2"/>
  <c r="A6" i="2"/>
  <c r="C3" i="6" l="1"/>
  <c r="E21" i="3"/>
  <c r="E13" i="3"/>
  <c r="E12" i="3"/>
  <c r="E19" i="2"/>
  <c r="F23" i="3" s="1"/>
  <c r="J23" i="3" s="1"/>
  <c r="N23" i="3" s="1"/>
  <c r="E18" i="2"/>
  <c r="F22" i="3" s="1"/>
  <c r="J22" i="3" s="1"/>
  <c r="E15" i="2"/>
  <c r="F19" i="3" s="1"/>
  <c r="J19" i="3" s="1"/>
  <c r="N19" i="3" s="1"/>
  <c r="E14" i="2"/>
  <c r="F18" i="3" s="1"/>
  <c r="J18" i="3" s="1"/>
  <c r="E7" i="2"/>
  <c r="F11" i="3" s="1"/>
  <c r="E10" i="3"/>
  <c r="E24" i="3"/>
  <c r="E20" i="3"/>
  <c r="E12" i="2"/>
  <c r="F16" i="3" s="1"/>
  <c r="J16" i="3" s="1"/>
  <c r="N16" i="3" s="1"/>
  <c r="E11" i="2"/>
  <c r="F15" i="3" s="1"/>
  <c r="J15" i="3" s="1"/>
  <c r="N15" i="3" s="1"/>
  <c r="E17" i="3"/>
  <c r="E14" i="3"/>
  <c r="J17" i="3"/>
  <c r="N17" i="3" s="1"/>
  <c r="J11" i="3"/>
  <c r="L11" i="3" s="1"/>
  <c r="K22" i="3"/>
  <c r="K21" i="3"/>
  <c r="K14" i="3"/>
  <c r="K20" i="3"/>
  <c r="K19" i="3"/>
  <c r="K18" i="3"/>
  <c r="K17" i="3"/>
  <c r="K16" i="3"/>
  <c r="K15" i="3"/>
  <c r="K13" i="3"/>
  <c r="K24" i="3"/>
  <c r="K12" i="3"/>
  <c r="K23" i="3"/>
  <c r="K11" i="3"/>
  <c r="K10" i="3"/>
  <c r="J21" i="3"/>
  <c r="J20" i="3"/>
  <c r="N20" i="3" s="1"/>
  <c r="J14" i="3"/>
  <c r="L14" i="3" s="1"/>
  <c r="J10" i="3"/>
  <c r="L10" i="3" s="1"/>
  <c r="J13" i="3"/>
  <c r="J24" i="3"/>
  <c r="N24" i="3" s="1"/>
  <c r="J12" i="3"/>
  <c r="N12" i="3" s="1"/>
  <c r="L18" i="3" l="1"/>
  <c r="N18" i="3"/>
  <c r="L15" i="3"/>
  <c r="O15" i="3" s="1"/>
  <c r="W15" i="3" s="1"/>
  <c r="L19" i="3"/>
  <c r="O19" i="3" s="1"/>
  <c r="W19" i="3" s="1"/>
  <c r="L16" i="3"/>
  <c r="O16" i="3" s="1"/>
  <c r="W16" i="3" s="1"/>
  <c r="L23" i="3"/>
  <c r="O23" i="3" s="1"/>
  <c r="W23" i="3" s="1"/>
  <c r="L17" i="3"/>
  <c r="O17" i="3" s="1"/>
  <c r="W17" i="3" s="1"/>
  <c r="N11" i="3"/>
  <c r="O11" i="3" s="1"/>
  <c r="W11" i="3" s="1"/>
  <c r="N14" i="3"/>
  <c r="N10" i="3"/>
  <c r="L13" i="3"/>
  <c r="L20" i="3"/>
  <c r="O20" i="3" s="1"/>
  <c r="W20" i="3" s="1"/>
  <c r="L12" i="3"/>
  <c r="O12" i="3" s="1"/>
  <c r="W12" i="3" s="1"/>
  <c r="L24" i="3"/>
  <c r="O24" i="3" s="1"/>
  <c r="W24" i="3" s="1"/>
  <c r="N13" i="3"/>
  <c r="L21" i="3"/>
  <c r="N21" i="3"/>
  <c r="L22" i="3"/>
  <c r="N22" i="3"/>
  <c r="K7" i="3"/>
  <c r="P20" i="3" l="1"/>
  <c r="Q20" i="3" s="1"/>
  <c r="P16" i="3"/>
  <c r="Q16" i="3" s="1"/>
  <c r="P11" i="3"/>
  <c r="P17" i="3"/>
  <c r="Q17" i="3" s="1"/>
  <c r="P19" i="3"/>
  <c r="Q19" i="3" s="1"/>
  <c r="P15" i="3"/>
  <c r="Q15" i="3" s="1"/>
  <c r="P24" i="3"/>
  <c r="Q24" i="3" s="1"/>
  <c r="P23" i="3"/>
  <c r="Q23" i="3" s="1"/>
  <c r="P12" i="3"/>
  <c r="Q12" i="3" s="1"/>
  <c r="T20" i="3"/>
  <c r="T11" i="3"/>
  <c r="T17" i="3"/>
  <c r="T16" i="3"/>
  <c r="T19" i="3"/>
  <c r="T24" i="3"/>
  <c r="T23" i="3"/>
  <c r="T15" i="3"/>
  <c r="T12" i="3"/>
  <c r="R11" i="3"/>
  <c r="S11" i="3"/>
  <c r="R19" i="3"/>
  <c r="S19" i="3"/>
  <c r="R15" i="3"/>
  <c r="S15" i="3"/>
  <c r="R17" i="3"/>
  <c r="S17" i="3"/>
  <c r="R24" i="3"/>
  <c r="S24" i="3"/>
  <c r="R20" i="3"/>
  <c r="S20" i="3"/>
  <c r="R23" i="3"/>
  <c r="S23" i="3"/>
  <c r="R16" i="3"/>
  <c r="S16" i="3"/>
  <c r="R12" i="3"/>
  <c r="S12" i="3"/>
  <c r="O18" i="3"/>
  <c r="W18" i="3" s="1"/>
  <c r="L7" i="3"/>
  <c r="O22" i="3"/>
  <c r="W22" i="3" s="1"/>
  <c r="N7" i="3"/>
  <c r="O21" i="3"/>
  <c r="W21" i="3" s="1"/>
  <c r="O13" i="3"/>
  <c r="W13" i="3" s="1"/>
  <c r="O14" i="3"/>
  <c r="W14" i="3" s="1"/>
  <c r="O10" i="3"/>
  <c r="W10" i="3" s="1"/>
  <c r="J7" i="3"/>
  <c r="U24" i="3" l="1"/>
  <c r="V24" i="3" s="1"/>
  <c r="Y24" i="3" s="1"/>
  <c r="U12" i="3"/>
  <c r="V12" i="3" s="1"/>
  <c r="Y12" i="3" s="1"/>
  <c r="U19" i="3"/>
  <c r="V19" i="3" s="1"/>
  <c r="Y19" i="3" s="1"/>
  <c r="U17" i="3"/>
  <c r="V17" i="3" s="1"/>
  <c r="Y17" i="3" s="1"/>
  <c r="P13" i="3"/>
  <c r="Q13" i="3" s="1"/>
  <c r="P21" i="3"/>
  <c r="Q21" i="3" s="1"/>
  <c r="P22" i="3"/>
  <c r="Q22" i="3" s="1"/>
  <c r="P14" i="3"/>
  <c r="Q14" i="3" s="1"/>
  <c r="P18" i="3"/>
  <c r="Q18" i="3" s="1"/>
  <c r="U16" i="3"/>
  <c r="V16" i="3" s="1"/>
  <c r="Y16" i="3" s="1"/>
  <c r="U15" i="3"/>
  <c r="V15" i="3" s="1"/>
  <c r="Y15" i="3" s="1"/>
  <c r="U20" i="3"/>
  <c r="V20" i="3" s="1"/>
  <c r="Y20" i="3" s="1"/>
  <c r="P10" i="3"/>
  <c r="Q10" i="3" s="1"/>
  <c r="U23" i="3"/>
  <c r="V23" i="3" s="1"/>
  <c r="Y23" i="3" s="1"/>
  <c r="Q11" i="3"/>
  <c r="U11" i="3" s="1"/>
  <c r="V11" i="3" s="1"/>
  <c r="Y11" i="3" s="1"/>
  <c r="T18" i="3"/>
  <c r="T22" i="3"/>
  <c r="T14" i="3"/>
  <c r="T13" i="3"/>
  <c r="T21" i="3"/>
  <c r="S10" i="3"/>
  <c r="T10" i="3"/>
  <c r="R14" i="3"/>
  <c r="S14" i="3"/>
  <c r="R13" i="3"/>
  <c r="S13" i="3"/>
  <c r="R21" i="3"/>
  <c r="S21" i="3"/>
  <c r="R22" i="3"/>
  <c r="S22" i="3"/>
  <c r="R18" i="3"/>
  <c r="S18" i="3"/>
  <c r="R10" i="3"/>
  <c r="O7" i="3"/>
  <c r="U13" i="3" l="1"/>
  <c r="V13" i="3" s="1"/>
  <c r="Y13" i="3" s="1"/>
  <c r="U21" i="3"/>
  <c r="V21" i="3" s="1"/>
  <c r="Y21" i="3" s="1"/>
  <c r="U18" i="3"/>
  <c r="V18" i="3" s="1"/>
  <c r="Y18" i="3" s="1"/>
  <c r="U14" i="3"/>
  <c r="V14" i="3" s="1"/>
  <c r="Y14" i="3" s="1"/>
  <c r="U22" i="3"/>
  <c r="V22" i="3" s="1"/>
  <c r="Y22" i="3" s="1"/>
  <c r="U10" i="3"/>
  <c r="V10" i="3" s="1"/>
  <c r="Y10" i="3" s="1"/>
  <c r="C8" i="6"/>
  <c r="C7" i="6"/>
  <c r="C6" i="6"/>
  <c r="T7" i="3"/>
  <c r="S7" i="3"/>
  <c r="R7" i="3"/>
  <c r="P7" i="3"/>
  <c r="Q7" i="3"/>
  <c r="C5" i="6" l="1"/>
  <c r="C4" i="6"/>
  <c r="X7" i="3"/>
  <c r="W7" i="3"/>
  <c r="U7" i="3"/>
  <c r="Y7" i="3"/>
  <c r="V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<sst xmlns="http://schemas.openxmlformats.org/spreadsheetml/2006/main" count="269" uniqueCount="171">
  <si>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</si>
  <si>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</si>
  <si>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</si>
  <si>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</si>
  <si>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</si>
  <si>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</si>
  <si>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</si>
  <si>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</si>
  <si>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</si>
  <si>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</si>
  <si>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</si>
  <si>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</si>
  <si>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</si>
  <si>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</si>
  <si>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</si>
  <si>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</si>
  <si>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</si>
  <si>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</si>
  <si>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</si>
  <si>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</si>
  <si>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</si>
  <si>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</si>
  <si>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</si>
  <si>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</si>
  <si>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</si>
  <si>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</si>
  <si>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</si>
  <si>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</si>
  <si>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</si>
  <si>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</si>
  <si>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</si>
  <si>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</si>
  <si>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</si>
  <si>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</si>
  <si>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</si>
  <si>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</si>
  <si>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</si>
  <si>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</si>
  <si>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</si>
  <si>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</si>
  <si>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</si>
  <si>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</si>
  <si>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</si>
  <si>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</si>
  <si>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</si>
  <si>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</si>
  <si>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</si>
  <si>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</si>
  <si>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</si>
  <si>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</si>
  <si>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</si>
  <si>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</si>
  <si>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</si>
  <si>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</si>
  <si>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</si>
  <si>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</si>
  <si>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</si>
  <si>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</si>
  <si>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</si>
  <si>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</si>
  <si>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</si>
  <si>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</si>
  <si>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</si>
  <si>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</si>
  <si>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</si>
  <si>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</si>
  <si>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</si>
  <si>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</si>
  <si>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</si>
  <si>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</si>
  <si>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</si>
  <si>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</si>
  <si>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</si>
  <si>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</si>
  <si>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</si>
  <si>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</si>
  <si>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</si>
  <si>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</si>
  <si>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</si>
  <si>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</si>
  <si>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</si>
  <si>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</si>
  <si>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</si>
  <si>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</si>
  <si>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</si>
  <si>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</si>
  <si>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</si>
  <si>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</si>
  <si>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</si>
  <si>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</si>
  <si>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</si>
  <si>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</si>
  <si>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</si>
  <si>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</si>
  <si>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</si>
  <si>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</si>
  <si>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</si>
  <si>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</si>
  <si>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</si>
  <si>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</si>
  <si>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</si>
  <si>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</si>
  <si>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</si>
  <si>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</si>
  <si>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</si>
  <si>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</si>
  <si>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</si>
  <si>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</si>
  <si>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</si>
  <si>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</si>
  <si>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</si>
  <si>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</si>
  <si>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</si>
  <si>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</si>
  <si>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</si>
  <si>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</si>
  <si>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</si>
  <si>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</si>
  <si>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</si>
  <si>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</si>
  <si>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</si>
  <si>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</si>
  <si>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</si>
  <si>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</si>
  <si>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</si>
  <si>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</si>
  <si>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</si>
  <si>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</si>
  <si>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</si>
  <si>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</si>
  <si>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</si>
  <si>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</si>
  <si>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</si>
  <si>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</si>
  <si>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</si>
  <si>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</si>
  <si>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</si>
  <si>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</si>
  <si>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</si>
  <si>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</si>
  <si>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</si>
  <si>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</si>
  <si>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</si>
  <si>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</si>
  <si>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</si>
  <si>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</si>
  <si>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</si>
  <si>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</si>
  <si>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</si>
  <si>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</si>
  <si>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</si>
  <si>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</si>
  <si>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</si>
  <si>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</si>
  <si>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</si>
  <si>
    <t>Darbuotojas1</t>
  </si>
  <si>
    <t>Darbuotojas2</t>
  </si>
  <si>
    <t>Darbuotojas3</t>
  </si>
  <si>
    <t>Darbuotojas4</t>
  </si>
  <si>
    <t>Darbuotojas5</t>
  </si>
  <si>
    <t>Darbuotojas6</t>
  </si>
  <si>
    <t>Darbuotojas7</t>
  </si>
  <si>
    <t>Darbuotojas8</t>
  </si>
  <si>
    <t>Darbuotojas9</t>
  </si>
  <si>
    <t>Darbuotojas10</t>
  </si>
  <si>
    <t>Darbuotojas11</t>
  </si>
  <si>
    <t>Darbuotojas12</t>
  </si>
  <si>
    <t>Darbuotojas13</t>
  </si>
  <si>
    <t>Darbuotojas14</t>
  </si>
  <si>
    <t>Darbuotojas15</t>
  </si>
  <si>
    <t>Kovas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</si>
</sst>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yyyy\/mmm\/dd"/>
  </numFmts>
  <fonts count="1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0" fontId="8" fillId="0" borderId="1" xfId="0" applyFont="1" applyBorder="1" applyAlignment="1">
      <alignment horizontal="center"/>
    </xf>
    <xf numFmtId="2" fontId="9" fillId="0" borderId="1" xfId="2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2" fontId="8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0" fillId="0" borderId="2" xfId="0" applyBorder="1"/>
    <xf numFmtId="0" fontId="8" fillId="0" borderId="7" xfId="0" applyFont="1" applyBorder="1"/>
    <xf numFmtId="2" fontId="8" fillId="0" borderId="8" xfId="0" applyNumberFormat="1" applyFont="1" applyBorder="1"/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/>
    <xf numFmtId="0" fontId="8" fillId="0" borderId="2" xfId="0" applyFont="1" applyBorder="1" applyAlignment="1">
      <alignment horizontal="center"/>
    </xf>
    <xf numFmtId="165" fontId="8" fillId="0" borderId="2" xfId="0" applyNumberFormat="1" applyFont="1" applyBorder="1"/>
    <xf numFmtId="0" fontId="8" fillId="0" borderId="2" xfId="0" applyFont="1" applyBorder="1"/>
    <xf numFmtId="2" fontId="8" fillId="0" borderId="2" xfId="0" applyNumberFormat="1" applyFont="1" applyBorder="1"/>
    <xf numFmtId="2" fontId="8" fillId="0" borderId="2" xfId="0" applyNumberFormat="1" applyFont="1" applyBorder="1" applyAlignment="1">
      <alignment horizontal="right"/>
    </xf>
    <xf numFmtId="2" fontId="8" fillId="0" borderId="12" xfId="0" applyNumberFormat="1" applyFont="1" applyBorder="1"/>
  </cellXfs>
  <cellStyles count="3">
    <cellStyle name="Įprastas" xfId="0" builtinId="0"/>
    <cellStyle name="Procentai" xfId="2" builtinId="5"/>
    <cellStyle name="Valiuta" xfId="1" builtinId="4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/mmm\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alignment horizont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lt-LT"/>
              <a:t>Darbuotojas1 Mokesčiai ir išmoka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'Darbo užmokestis'!$D$10</c:f>
              <c:strCache>
                <c:ptCount val="1"/>
                <c:pt idx="0">
                  <c:v>Darbuotojas1</c:v>
                </c:pt>
              </c:strCache>
            </c:strRef>
          </c:tx>
          <c:dPt>
            <c:idx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C4-4264-90BA-339BBE6CE4C5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C4-4264-90BA-339BBE6CE4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('Darbo užmokestis'!$U$9,'Darbo užmokestis'!$V$9)</c:f>
              <c:strCache>
                <c:ptCount val="2"/>
                <c:pt idx="0">
                  <c:v>Išskaičiuota iš viso, €</c:v>
                </c:pt>
                <c:pt idx="1">
                  <c:v>Išmokėtina suma, €</c:v>
                </c:pt>
              </c:strCache>
            </c:strRef>
          </c:cat>
          <c:val>
            <c:numRef>
              <c:f>('Darbo užmokestis'!$U$10,'Darbo užmokestis'!$V$10)</c:f>
              <c:numCache>
                <c:formatCode>0.00</c:formatCode>
                <c:ptCount val="2"/>
                <c:pt idx="0">
                  <c:v>1205.6075867768593</c:v>
                </c:pt>
                <c:pt idx="1">
                  <c:v>1449.7643140495868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4-4264-90BA-339BBE6CE4C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'Darbo užmokestis'!$V$9</c:f>
              <c:strCache>
                <c:ptCount val="1"/>
                <c:pt idx="0">
                  <c:v>Išmokėtina suma, €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'Darbo užmokestis'!$D$10:$D$24</c:f>
              <c:strCache>
                <c:ptCount val="15"/>
                <c:pt idx="0">
                  <c:v>Darbuotojas1</c:v>
                </c:pt>
                <c:pt idx="1">
                  <c:v>Darbuotojas2</c:v>
                </c:pt>
                <c:pt idx="2">
                  <c:v>Darbuotojas3</c:v>
                </c:pt>
                <c:pt idx="3">
                  <c:v>Darbuotojas4</c:v>
                </c:pt>
                <c:pt idx="4">
                  <c:v>Darbuotojas5</c:v>
                </c:pt>
                <c:pt idx="5">
                  <c:v>Darbuotojas6</c:v>
                </c:pt>
                <c:pt idx="6">
                  <c:v>Darbuotojas7</c:v>
                </c:pt>
                <c:pt idx="7">
                  <c:v>Darbuotojas8</c:v>
                </c:pt>
                <c:pt idx="8">
                  <c:v>Darbuotojas9</c:v>
                </c:pt>
                <c:pt idx="9">
                  <c:v>Darbuotojas10</c:v>
                </c:pt>
                <c:pt idx="10">
                  <c:v>Darbuotojas11</c:v>
                </c:pt>
                <c:pt idx="11">
                  <c:v>Darbuotojas12</c:v>
                </c:pt>
                <c:pt idx="12">
                  <c:v>Darbuotojas13</c:v>
                </c:pt>
                <c:pt idx="13">
                  <c:v>Darbuotojas14</c:v>
                </c:pt>
                <c:pt idx="14">
                  <c:v>Darbuotojas15</c:v>
                </c:pt>
              </c:strCache>
            </c:strRef>
          </c:cat>
          <c:val>
            <c:numRef>
              <c:f>'Darbo užmokestis'!$V$10:$V$24</c:f>
              <c:numCache>
                <c:formatCode>0.00</c:formatCode>
                <c:ptCount val="15"/>
                <c:pt idx="0">
                  <c:v>1449.7643140495868</c:v>
                </c:pt>
                <c:pt idx="1">
                  <c:v>735.57818181818209</c:v>
                </c:pt>
                <c:pt idx="2">
                  <c:v>742.9050000000002</c:v>
                </c:pt>
                <c:pt idx="3">
                  <c:v>670.20150000000001</c:v>
                </c:pt>
                <c:pt idx="4">
                  <c:v>409.3468499999999</c:v>
                </c:pt>
                <c:pt idx="5">
                  <c:v>329.5038545454546</c:v>
                </c:pt>
                <c:pt idx="6">
                  <c:v>286.76090082644646</c:v>
                </c:pt>
                <c:pt idx="7">
                  <c:v>345.95195454545456</c:v>
                </c:pt>
                <c:pt idx="8">
                  <c:v>258.57845454545463</c:v>
                </c:pt>
                <c:pt idx="9">
                  <c:v>174.36932231404955</c:v>
                </c:pt>
                <c:pt idx="10">
                  <c:v>205.36080991735537</c:v>
                </c:pt>
                <c:pt idx="11">
                  <c:v>268.41899999999998</c:v>
                </c:pt>
                <c:pt idx="12">
                  <c:v>174.36932231404955</c:v>
                </c:pt>
                <c:pt idx="13">
                  <c:v>249.10363636363638</c:v>
                </c:pt>
                <c:pt idx="14">
                  <c:v>249.10363636363638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8-4D30-A939-8EFC2EA81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6095599"/>
        <c:axId val="1908532063"/>
      </c:barChart>
      <c:catAx>
        <c:axId val="170609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Darbuotojai</a:t>
                </a:r>
              </a:p>
            </c:rich>
          </c:tx>
          <c:layout>
            <c:manualLayout>
              <c:xMode val="edge"/>
              <c:yMode val="edge"/>
              <c:x val="0.42748278385212618"/>
              <c:y val="0.8862339534158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908532063"/>
        <c:crosses val="autoZero"/>
        <c:auto val="1"/>
        <c:lblAlgn val="ctr"/>
        <c:lblOffset val="100"/>
        <c:noMultiLvlLbl val="0"/>
      </c:catAx>
      <c:valAx>
        <c:axId val="190853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Išmokama</a:t>
                </a:r>
                <a:r>
                  <a:rPr lang="lt-LT" baseline="0"/>
                  <a:t> suma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70609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16808</xdr:colOff>
      <xdr:row>24</xdr:row>
      <xdr:rowOff>180414</xdr:rowOff>
    </xdr:from>
    <xdr:to>
      <xdr:col>6</xdr:col>
      <xdr:colOff>252132</xdr:colOff>
      <xdr:row>39</xdr:row>
      <xdr:rowOff>66114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A7E1CDF-60A9-37E0-FB0D-9748CCAAB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212912</xdr:colOff>
      <xdr:row>24</xdr:row>
      <xdr:rowOff>180411</xdr:rowOff>
    </xdr:from>
    <xdr:to>
      <xdr:col>10</xdr:col>
      <xdr:colOff>1019735</xdr:colOff>
      <xdr:row>39</xdr:row>
      <xdr:rowOff>78441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A173EAE0-5AF7-9F91-BDE1-F5FC3B17D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74FFD4-2A8F-4980-8294-B7689706EB85}" name="Lentelė2" displayName="Lentelė2" ref="B3:B9" totalsRowShown="0" headerRowDxfId="41" headerRowBorderDxfId="40" tableBorderDxfId="39" totalsRowBorderDxfId="38">
  <autoFilter ref="B3:B9" xr:uid="{5A74FFD4-2A8F-4980-8294-B7689706EB85}"/>
  <tableColumns count="1">
    <tableColumn id="1" xr3:uid="{4E6E13DB-6561-4764-B1D1-A4BD8BC15D11}" name="Pareigybė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B1A34-045C-4652-B7EA-135DFCDC17AD}" name="Lentelė3" displayName="Lentelė3" ref="C5:C20" totalsRowShown="0" headerRowDxfId="36" dataDxfId="34" headerRowBorderDxfId="35" tableBorderDxfId="33" totalsRowBorderDxfId="32">
  <autoFilter ref="C5:C20" xr:uid="{070B1A34-045C-4652-B7EA-135DFCDC17AD}"/>
  <tableColumns count="1">
    <tableColumn id="1" xr3:uid="{D273F5D5-AEEF-465F-B71E-099411036739}" name="Pareigos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BA560-9F41-4C98-AE1B-A89C00D42680}" name="Lentelė1" displayName="Lentelė1" ref="A9:Y24" totalsRowShown="0" headerRowDxfId="0" dataDxfId="1" headerRowBorderDxfId="28" tableBorderDxfId="29" totalsRowBorderDxfId="27">
  <autoFilter ref="A9:Y24" xr:uid="{EE0BA560-9F41-4C98-AE1B-A89C00D42680}"/>
  <tableColumns count="25">
    <tableColumn id="1" xr3:uid="{88DF468F-36FC-47AC-B4FA-C7226222E6EB}" name="Registras" dataDxfId="26"/>
    <tableColumn id="2" xr3:uid="{094F1A95-09AC-4495-9CFC-3DBAA3F8BCED}" name="Op. Nr." dataDxfId="25">
      <calculatedColumnFormula>"03"</calculatedColumnFormula>
    </tableColumn>
    <tableColumn id="3" xr3:uid="{EFA103AE-787A-4C1E-8689-E663068A16E6}" name="Skaičiavimo data" dataDxfId="24">
      <calculatedColumnFormula>DATE(2026,3,15)</calculatedColumnFormula>
    </tableColumn>
    <tableColumn id="4" xr3:uid="{B0B448A0-FC7A-4B69-92B3-ED037FB299C0}" name="Pavardė, vardas" dataDxfId="23"/>
    <tableColumn id="5" xr3:uid="{9F2D2F52-5C83-43EC-97DE-DC6E14C6A9F1}" name="Pareiginis atlyginimas, €" dataDxfId="22">
      <calculatedColumnFormula>_xlfn.XLOOKUP(D10,Darbuotojai!$B$6:$B$20,Darbuotojai!$D$6:$D$20)</calculatedColumnFormula>
    </tableColumn>
    <tableColumn id="6" xr3:uid="{4C224952-FBC4-4660-AE45-A3B4AC826D13}" name="Valandinis tarifinis atlygis, €" dataDxfId="21">
      <calculatedColumnFormula>_xlfn.XLOOKUP(D10,Darbuotojai!$B$6:$B$20,Darbuotojai!$E$6:$E$20)</calculatedColumnFormula>
    </tableColumn>
    <tableColumn id="7" xr3:uid="{82EB98FC-D825-427C-9948-A314F71513BF}" name="Nustatytas darbo dienų skaičius " dataDxfId="20">
      <calculatedColumnFormula>NETWORKDAYS(2026-3-31,2026-3-1,2026-3-11)</calculatedColumnFormula>
    </tableColumn>
    <tableColumn id="8" xr3:uid="{E7A81A08-6A10-4656-9593-21DE6655DE25}" name="Faktiškai dirbta, d." dataDxfId="19">
      <calculatedColumnFormula>RANDBETWEEN(15,G10)</calculatedColumnFormula>
    </tableColumn>
    <tableColumn id="9" xr3:uid="{B0D6C374-D976-491E-87FE-04B5C1B5F8BE}" name="Faktiškai dirbta, val." dataDxfId="18">
      <calculatedColumnFormula>H10*8</calculatedColumnFormula>
    </tableColumn>
    <tableColumn id="10" xr3:uid="{F0519330-1D60-4030-8C84-0FA9C9996022}" name="Atlyginimas, €" dataDxfId="17">
      <calculatedColumnFormula>F10*I10</calculatedColumnFormula>
    </tableColumn>
    <tableColumn id="11" xr3:uid="{D74C54DB-0DFE-45F1-8D7B-BE45842D5920}" name="Mėnesinė priemoka, €" dataDxfId="16">
      <calculatedColumnFormula>IF(G10=H10,50,0)</calculatedColumnFormula>
    </tableColumn>
    <tableColumn id="12" xr3:uid="{201149C8-5C12-4A66-A957-53706C3A3B84}" name="Eilinės atostogos,  €" dataDxfId="15">
      <calculatedColumnFormula>IF((G10-H10)&gt;=4,J10/G10*(G10-H10),0)</calculatedColumnFormula>
    </tableColumn>
    <tableColumn id="13" xr3:uid="{74079C53-F03D-49A2-8DEC-2B83A80B75EA}" name="Kompensacija už nepanaudotas atostogas,  €" dataDxfId="14">
      <calculatedColumnFormula>"0.00"</calculatedColumnFormula>
    </tableColumn>
    <tableColumn id="14" xr3:uid="{7DA1D2A6-6E6D-4FA7-97E1-96DC9BBF7C74}" name="Nedarbingumo pašalpa darbdavio lėšomis,  €" dataDxfId="13">
      <calculatedColumnFormula>IF(G10-H10&lt;4,J10/H10*(G10-H10),0)</calculatedColumnFormula>
    </tableColumn>
    <tableColumn id="15" xr3:uid="{2BFF7F2D-2EBC-4C72-977A-3DD240F16AEE}" name="Priskaičiuota iš viso,  €" dataDxfId="12">
      <calculatedColumnFormula>SUM(J10:N10)</calculatedColumnFormula>
    </tableColumn>
    <tableColumn id="16" xr3:uid="{FDE666AC-40F9-4794-8EB7-FC06F9B14545}" name="pritaikytas NPD, €" dataDxfId="11">
      <calculatedColumnFormula>MAX(0, IF(O10&lt;=730, 460, IF(O10&lt;=1678, 460-0.26*(O10-730), 400-0.18*(O10-642))))</calculatedColumnFormula>
    </tableColumn>
    <tableColumn id="17" xr3:uid="{AC23E469-4573-4016-9C17-44D3D10B30BD}" name="GPM, €" dataDxfId="10">
      <calculatedColumnFormula>(O10-P10)*0.2</calculatedColumnFormula>
    </tableColumn>
    <tableColumn id="18" xr3:uid="{A8368D66-E68E-4C8D-8ADB-8B7C370AB8B3}" name="VSD įmoka, €" dataDxfId="9">
      <calculatedColumnFormula>(O10-N10)*0.1429</calculatedColumnFormula>
    </tableColumn>
    <tableColumn id="19" xr3:uid="{BFA81F23-C784-42A0-ADF1-7D4C2C363273}" name="PSD įmoka,  €" dataDxfId="8">
      <calculatedColumnFormula>(O10-N10)*0.0698</calculatedColumnFormula>
    </tableColumn>
    <tableColumn id="20" xr3:uid="{6110A15C-D194-40ED-8F32-2BA9EFBBEFBE}" name="Papildomas pensijinis kaupimas " dataDxfId="7">
      <calculatedColumnFormula>O10*0.03</calculatedColumnFormula>
    </tableColumn>
    <tableColumn id="21" xr3:uid="{254E15E9-0407-4284-919A-CD8F119A1555}" name="Išskaičiuota iš viso, €" dataDxfId="6">
      <calculatedColumnFormula>SUM(P10:T10)</calculatedColumnFormula>
    </tableColumn>
    <tableColumn id="22" xr3:uid="{AC578D6A-E8B6-435D-B4CA-1D993E1CE447}" name="Išmokėtina suma, €" dataDxfId="5">
      <calculatedColumnFormula>O10-U10</calculatedColumnFormula>
    </tableColumn>
    <tableColumn id="23" xr3:uid="{10C4071D-B296-4199-9DE8-2661BE064517}" name="Darbdavio VSD įmokos, €" dataDxfId="4">
      <calculatedColumnFormula>$G$5*O10</calculatedColumnFormula>
    </tableColumn>
    <tableColumn id="24" xr3:uid="{24A95646-BFAB-4C6F-988C-481114F67EC5}" name="Avansas, €" dataDxfId="3">
      <calculatedColumnFormula>Darbuotojai!F6</calculatedColumnFormula>
    </tableColumn>
    <tableColumn id="25" xr3:uid="{E40EAFE5-E7C3-4452-A693-98C3FB556CD3}" name="Išmokėtina suma po avanso, €" dataDxfId="2">
      <calculatedColumnFormula>V10-X10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J9" sqref="J9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41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39" t="s">
        <v>3</v>
      </c>
      <c r="C4" s="10">
        <v>2800</v>
      </c>
      <c r="D4" s="10">
        <v>1</v>
      </c>
    </row>
    <row r="5" spans="1:4" x14ac:dyDescent="0.25">
      <c r="A5" s="10">
        <v>2</v>
      </c>
      <c r="B5" s="39" t="s">
        <v>40</v>
      </c>
      <c r="C5" s="10">
        <v>1600</v>
      </c>
      <c r="D5" s="10">
        <v>2</v>
      </c>
    </row>
    <row r="6" spans="1:4" x14ac:dyDescent="0.25">
      <c r="A6" s="10">
        <v>3</v>
      </c>
      <c r="B6" s="39" t="s">
        <v>2</v>
      </c>
      <c r="C6" s="10">
        <v>1505</v>
      </c>
      <c r="D6" s="10">
        <v>1</v>
      </c>
    </row>
    <row r="7" spans="1:4" x14ac:dyDescent="0.25">
      <c r="A7" s="10">
        <v>4</v>
      </c>
      <c r="B7" s="39" t="s">
        <v>1</v>
      </c>
      <c r="C7" s="10">
        <v>1199</v>
      </c>
      <c r="D7" s="10">
        <v>2</v>
      </c>
    </row>
    <row r="8" spans="1:4" x14ac:dyDescent="0.25">
      <c r="A8" s="10">
        <v>5</v>
      </c>
      <c r="B8" s="39" t="s">
        <v>41</v>
      </c>
      <c r="C8" s="10">
        <v>1090</v>
      </c>
      <c r="D8" s="10">
        <v>2</v>
      </c>
    </row>
    <row r="9" spans="1:4" x14ac:dyDescent="0.25">
      <c r="A9" s="10">
        <v>6</v>
      </c>
      <c r="B9" s="40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opLeftCell="A29" zoomScaleNormal="100" workbookViewId="0">
      <selection activeCell="B49" sqref="B49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  <col min="8" max="8" width="91.710937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122</v>
      </c>
    </row>
    <row r="21" spans="1:4" x14ac:dyDescent="0.25">
      <c r="A21">
        <v>4</v>
      </c>
      <c r="B21" s="8" t="s">
        <v>16</v>
      </c>
      <c r="C21" t="s">
        <v>126</v>
      </c>
      <c r="D21" t="s">
        <v>123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138</v>
      </c>
      <c r="D34" s="18"/>
      <c r="H34" s="29" t="s">
        <v>127</v>
      </c>
    </row>
    <row r="35" spans="1:18" ht="15.75" x14ac:dyDescent="0.25">
      <c r="A35">
        <v>18</v>
      </c>
      <c r="B35" s="8" t="s">
        <v>114</v>
      </c>
      <c r="C35" t="s">
        <v>116</v>
      </c>
      <c r="D35" t="s">
        <v>92</v>
      </c>
      <c r="G35" s="30" t="s">
        <v>128</v>
      </c>
      <c r="H35" t="s">
        <v>129</v>
      </c>
      <c r="M35" s="31"/>
    </row>
    <row r="36" spans="1:18" ht="17.25" customHeight="1" x14ac:dyDescent="0.25">
      <c r="A36">
        <v>19</v>
      </c>
      <c r="B36" s="8" t="s">
        <v>95</v>
      </c>
      <c r="C36" t="s">
        <v>124</v>
      </c>
      <c r="G36" s="30" t="s">
        <v>130</v>
      </c>
      <c r="H36" t="s">
        <v>131</v>
      </c>
      <c r="R36" t="s">
        <v>132</v>
      </c>
    </row>
    <row r="37" spans="1:18" x14ac:dyDescent="0.25">
      <c r="A37">
        <v>20</v>
      </c>
      <c r="B37" s="8" t="s">
        <v>47</v>
      </c>
      <c r="C37" t="s">
        <v>118</v>
      </c>
      <c r="G37" s="30" t="s">
        <v>133</v>
      </c>
      <c r="H37" t="s">
        <v>134</v>
      </c>
      <c r="R37" t="s">
        <v>135</v>
      </c>
    </row>
    <row r="38" spans="1:18" x14ac:dyDescent="0.25">
      <c r="A38">
        <v>21</v>
      </c>
      <c r="B38" s="8" t="s">
        <v>28</v>
      </c>
      <c r="C38" t="s">
        <v>58</v>
      </c>
      <c r="G38" s="30" t="s">
        <v>136</v>
      </c>
      <c r="H38" t="s">
        <v>137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117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121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45" t="s">
        <v>80</v>
      </c>
      <c r="C47" s="45"/>
    </row>
    <row r="48" spans="1:18" ht="15" customHeight="1" x14ac:dyDescent="0.25">
      <c r="A48">
        <v>29</v>
      </c>
      <c r="B48" s="46" t="s">
        <v>125</v>
      </c>
      <c r="C48" s="46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C19" sqref="C19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8.42578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41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">
        <f>1</f>
        <v>1</v>
      </c>
      <c r="B6" s="1" t="s">
        <v>155</v>
      </c>
      <c r="C6" s="41" t="s">
        <v>3</v>
      </c>
      <c r="D6" s="1" cm="1">
        <f t="array" ref="D6">_xlfn.XLOOKUP(Lentelė3[[#This Row],[Pareigos]],Lentelė2[Pareigybė],Pareigybės!$C$4:$C$9)</f>
        <v>2800</v>
      </c>
      <c r="E6" s="33">
        <f>D6/22/8</f>
        <v>15.909090909090908</v>
      </c>
      <c r="F6" s="33">
        <f ca="1">CHOOSE(RANDBETWEEN(1,2), 150, 200)</f>
        <v>200</v>
      </c>
      <c r="G6" s="10" t="s">
        <v>49</v>
      </c>
      <c r="H6" s="1" t="str">
        <f ca="1">CONCATENATE("+370 6",RANDBETWEEN(10,99)," ",RANDBETWEEN(10000,99999))</f>
        <v>+370 673 66792</v>
      </c>
      <c r="I6" s="1" t="s">
        <v>139</v>
      </c>
    </row>
    <row r="7" spans="1:13" x14ac:dyDescent="0.25">
      <c r="A7" s="1">
        <f>A6+1</f>
        <v>2</v>
      </c>
      <c r="B7" s="1" t="s">
        <v>156</v>
      </c>
      <c r="C7" s="42" t="s">
        <v>40</v>
      </c>
      <c r="D7" s="1" cm="1">
        <f t="array" ref="D7">_xlfn.XLOOKUP(Lentelė3[[#This Row],[Pareigos]],Lentelė2[Pareigybė],Pareigybės!$C$4:$C$9)</f>
        <v>1600</v>
      </c>
      <c r="E7" s="33">
        <f t="shared" ref="E7:E20" si="0">D7/22/8</f>
        <v>9.0909090909090917</v>
      </c>
      <c r="F7" s="33">
        <f t="shared" ref="F7:F20" ca="1" si="1">CHOOSE(RANDBETWEEN(1,2), 150, 200)</f>
        <v>150</v>
      </c>
      <c r="G7" s="10" t="s">
        <v>49</v>
      </c>
      <c r="H7" s="1" t="str">
        <f t="shared" ref="H7:H20" ca="1" si="2">CONCATENATE("+370 6",RANDBETWEEN(10,99)," ",RANDBETWEEN(10000,99999))</f>
        <v>+370 650 32354</v>
      </c>
      <c r="I7" s="1" t="s">
        <v>140</v>
      </c>
    </row>
    <row r="8" spans="1:13" x14ac:dyDescent="0.25">
      <c r="A8" s="1">
        <f t="shared" ref="A8:A20" si="3">A7+1</f>
        <v>3</v>
      </c>
      <c r="B8" s="1" t="s">
        <v>157</v>
      </c>
      <c r="C8" s="42" t="s">
        <v>40</v>
      </c>
      <c r="D8" s="1" cm="1">
        <f t="array" ref="D8">_xlfn.XLOOKUP(Lentelė3[[#This Row],[Pareigos]],Lentelė2[Pareigybė],Pareigybės!$C$4:$C$9)</f>
        <v>1600</v>
      </c>
      <c r="E8" s="33">
        <f t="shared" si="0"/>
        <v>9.0909090909090917</v>
      </c>
      <c r="F8" s="33">
        <f t="shared" ca="1" si="1"/>
        <v>150</v>
      </c>
      <c r="G8" s="10" t="s">
        <v>49</v>
      </c>
      <c r="H8" s="1" t="str">
        <f t="shared" ca="1" si="2"/>
        <v>+370 653 33309</v>
      </c>
      <c r="I8" s="1" t="s">
        <v>141</v>
      </c>
    </row>
    <row r="9" spans="1:13" x14ac:dyDescent="0.25">
      <c r="A9" s="1">
        <f t="shared" si="3"/>
        <v>4</v>
      </c>
      <c r="B9" s="1" t="s">
        <v>158</v>
      </c>
      <c r="C9" s="42" t="s">
        <v>2</v>
      </c>
      <c r="D9" s="1" cm="1">
        <f t="array" ref="D9">_xlfn.XLOOKUP(Lentelė3[[#This Row],[Pareigos]],Lentelė2[Pareigybė],Pareigybės!$C$4:$C$9)</f>
        <v>1505</v>
      </c>
      <c r="E9" s="33">
        <f t="shared" si="0"/>
        <v>8.5511363636363633</v>
      </c>
      <c r="F9" s="33">
        <f t="shared" ca="1" si="1"/>
        <v>150</v>
      </c>
      <c r="G9" s="10" t="s">
        <v>49</v>
      </c>
      <c r="H9" s="1" t="str">
        <f t="shared" ca="1" si="2"/>
        <v>+370 637 30896</v>
      </c>
      <c r="I9" s="1" t="s">
        <v>142</v>
      </c>
    </row>
    <row r="10" spans="1:13" x14ac:dyDescent="0.25">
      <c r="A10" s="1">
        <f t="shared" si="3"/>
        <v>5</v>
      </c>
      <c r="B10" s="1" t="s">
        <v>159</v>
      </c>
      <c r="C10" s="42" t="s">
        <v>1</v>
      </c>
      <c r="D10" s="1" cm="1">
        <f t="array" ref="D10">_xlfn.XLOOKUP(Lentelė3[[#This Row],[Pareigos]],Lentelė2[Pareigybė],Pareigybės!$C$4:$C$9)</f>
        <v>1199</v>
      </c>
      <c r="E10" s="33">
        <f t="shared" si="0"/>
        <v>6.8125</v>
      </c>
      <c r="F10" s="33">
        <f t="shared" ca="1" si="1"/>
        <v>150</v>
      </c>
      <c r="G10" s="10" t="s">
        <v>49</v>
      </c>
      <c r="H10" s="1" t="str">
        <f t="shared" ca="1" si="2"/>
        <v>+370 688 53684</v>
      </c>
      <c r="I10" s="1" t="s">
        <v>143</v>
      </c>
      <c r="M10" s="32"/>
    </row>
    <row r="11" spans="1:13" x14ac:dyDescent="0.25">
      <c r="A11" s="1">
        <f t="shared" si="3"/>
        <v>6</v>
      </c>
      <c r="B11" s="1" t="s">
        <v>160</v>
      </c>
      <c r="C11" s="42" t="s">
        <v>1</v>
      </c>
      <c r="D11" s="1" cm="1">
        <f t="array" ref="D11">_xlfn.XLOOKUP(Lentelė3[[#This Row],[Pareigos]],Lentelė2[Pareigybė],Pareigybės!$C$4:$C$9)</f>
        <v>1199</v>
      </c>
      <c r="E11" s="33">
        <f t="shared" si="0"/>
        <v>6.8125</v>
      </c>
      <c r="F11" s="33">
        <f t="shared" ca="1" si="1"/>
        <v>200</v>
      </c>
      <c r="G11" s="10" t="s">
        <v>49</v>
      </c>
      <c r="H11" s="1" t="str">
        <f t="shared" ca="1" si="2"/>
        <v>+370 676 10058</v>
      </c>
      <c r="I11" s="1" t="s">
        <v>144</v>
      </c>
      <c r="M11" s="32"/>
    </row>
    <row r="12" spans="1:13" x14ac:dyDescent="0.25">
      <c r="A12" s="1">
        <f t="shared" si="3"/>
        <v>7</v>
      </c>
      <c r="B12" s="1" t="s">
        <v>161</v>
      </c>
      <c r="C12" s="43" t="s">
        <v>41</v>
      </c>
      <c r="D12" s="1" cm="1">
        <f t="array" ref="D12">_xlfn.XLOOKUP(Lentelė3[[#This Row],[Pareigos]],Lentelė2[Pareigybė],Pareigybės!$C$4:$C$9)</f>
        <v>1090</v>
      </c>
      <c r="E12" s="33">
        <f t="shared" si="0"/>
        <v>6.1931818181818183</v>
      </c>
      <c r="F12" s="33">
        <f t="shared" ca="1" si="1"/>
        <v>200</v>
      </c>
      <c r="G12" s="10" t="s">
        <v>49</v>
      </c>
      <c r="H12" s="1" t="str">
        <f t="shared" ca="1" si="2"/>
        <v>+370 654 83040</v>
      </c>
      <c r="I12" s="1" t="s">
        <v>145</v>
      </c>
    </row>
    <row r="13" spans="1:13" x14ac:dyDescent="0.25">
      <c r="A13" s="1">
        <f t="shared" si="3"/>
        <v>8</v>
      </c>
      <c r="B13" s="1" t="s">
        <v>162</v>
      </c>
      <c r="C13" s="41" t="s">
        <v>41</v>
      </c>
      <c r="D13" s="1" cm="1">
        <f t="array" ref="D13">_xlfn.XLOOKUP(Lentelė3[[#This Row],[Pareigos]],Lentelė2[Pareigybė],Pareigybės!$C$4:$C$9)</f>
        <v>1090</v>
      </c>
      <c r="E13" s="33">
        <f t="shared" si="0"/>
        <v>6.1931818181818183</v>
      </c>
      <c r="F13" s="33">
        <f t="shared" ca="1" si="1"/>
        <v>200</v>
      </c>
      <c r="G13" s="10" t="s">
        <v>49</v>
      </c>
      <c r="H13" s="1" t="str">
        <f t="shared" ca="1" si="2"/>
        <v>+370 613 90420</v>
      </c>
      <c r="I13" s="1" t="s">
        <v>146</v>
      </c>
    </row>
    <row r="14" spans="1:13" x14ac:dyDescent="0.25">
      <c r="A14" s="1">
        <f t="shared" si="3"/>
        <v>9</v>
      </c>
      <c r="B14" s="1" t="s">
        <v>163</v>
      </c>
      <c r="C14" s="42" t="s">
        <v>43</v>
      </c>
      <c r="D14" s="1" cm="1">
        <f t="array" ref="D14">_xlfn.XLOOKUP(Lentelė3[[#This Row],[Pareigos]],Lentelė2[Pareigybė],Pareigybės!$C$4:$C$9)</f>
        <v>980</v>
      </c>
      <c r="E14" s="33">
        <f t="shared" si="0"/>
        <v>5.5681818181818183</v>
      </c>
      <c r="F14" s="33">
        <f t="shared" ca="1" si="1"/>
        <v>200</v>
      </c>
      <c r="G14" s="10" t="s">
        <v>49</v>
      </c>
      <c r="H14" s="1" t="str">
        <f t="shared" ca="1" si="2"/>
        <v>+370 684 45181</v>
      </c>
      <c r="I14" s="1" t="s">
        <v>147</v>
      </c>
    </row>
    <row r="15" spans="1:13" x14ac:dyDescent="0.25">
      <c r="A15" s="1">
        <f t="shared" si="3"/>
        <v>10</v>
      </c>
      <c r="B15" s="1" t="s">
        <v>164</v>
      </c>
      <c r="C15" s="42" t="s">
        <v>43</v>
      </c>
      <c r="D15" s="1" cm="1">
        <f t="array" ref="D15">_xlfn.XLOOKUP(Lentelė3[[#This Row],[Pareigos]],Lentelė2[Pareigybė],Pareigybės!$C$4:$C$9)</f>
        <v>980</v>
      </c>
      <c r="E15" s="33">
        <f t="shared" si="0"/>
        <v>5.5681818181818183</v>
      </c>
      <c r="F15" s="33">
        <f t="shared" ca="1" si="1"/>
        <v>200</v>
      </c>
      <c r="G15" s="10" t="s">
        <v>49</v>
      </c>
      <c r="H15" s="1" t="str">
        <f t="shared" ca="1" si="2"/>
        <v>+370 654 10245</v>
      </c>
      <c r="I15" s="1" t="s">
        <v>148</v>
      </c>
    </row>
    <row r="16" spans="1:13" x14ac:dyDescent="0.25">
      <c r="A16" s="1">
        <f t="shared" si="3"/>
        <v>11</v>
      </c>
      <c r="B16" s="1" t="s">
        <v>165</v>
      </c>
      <c r="C16" s="42" t="s">
        <v>43</v>
      </c>
      <c r="D16" s="1" cm="1">
        <f t="array" ref="D16">_xlfn.XLOOKUP(Lentelė3[[#This Row],[Pareigos]],Lentelė2[Pareigybė],Pareigybės!$C$4:$C$9)</f>
        <v>980</v>
      </c>
      <c r="E16" s="33">
        <f t="shared" si="0"/>
        <v>5.5681818181818183</v>
      </c>
      <c r="F16" s="33">
        <f t="shared" ca="1" si="1"/>
        <v>150</v>
      </c>
      <c r="G16" s="10" t="s">
        <v>49</v>
      </c>
      <c r="H16" s="1" t="str">
        <f t="shared" ca="1" si="2"/>
        <v>+370 651 93269</v>
      </c>
      <c r="I16" s="1" t="s">
        <v>149</v>
      </c>
    </row>
    <row r="17" spans="1:9" x14ac:dyDescent="0.25">
      <c r="A17" s="1">
        <f t="shared" si="3"/>
        <v>12</v>
      </c>
      <c r="B17" s="1" t="s">
        <v>166</v>
      </c>
      <c r="C17" s="42" t="s">
        <v>43</v>
      </c>
      <c r="D17" s="1" cm="1">
        <f t="array" ref="D17">_xlfn.XLOOKUP(Lentelė3[[#This Row],[Pareigos]],Lentelė2[Pareigybė],Pareigybės!$C$4:$C$9)</f>
        <v>980</v>
      </c>
      <c r="E17" s="33">
        <f t="shared" si="0"/>
        <v>5.5681818181818183</v>
      </c>
      <c r="F17" s="33">
        <f t="shared" ca="1" si="1"/>
        <v>200</v>
      </c>
      <c r="G17" s="10" t="s">
        <v>49</v>
      </c>
      <c r="H17" s="1" t="str">
        <f t="shared" ca="1" si="2"/>
        <v>+370 669 58424</v>
      </c>
      <c r="I17" s="1" t="s">
        <v>150</v>
      </c>
    </row>
    <row r="18" spans="1:9" x14ac:dyDescent="0.25">
      <c r="A18" s="1">
        <f t="shared" si="3"/>
        <v>13</v>
      </c>
      <c r="B18" s="1" t="s">
        <v>167</v>
      </c>
      <c r="C18" s="42" t="s">
        <v>43</v>
      </c>
      <c r="D18" s="1" cm="1">
        <f t="array" ref="D18">_xlfn.XLOOKUP(Lentelė3[[#This Row],[Pareigos]],Lentelė2[Pareigybė],Pareigybės!$C$4:$C$9)</f>
        <v>980</v>
      </c>
      <c r="E18" s="33">
        <f t="shared" si="0"/>
        <v>5.5681818181818183</v>
      </c>
      <c r="F18" s="33">
        <f t="shared" ca="1" si="1"/>
        <v>150</v>
      </c>
      <c r="G18" s="10" t="s">
        <v>49</v>
      </c>
      <c r="H18" s="1" t="str">
        <f t="shared" ca="1" si="2"/>
        <v>+370 639 69917</v>
      </c>
      <c r="I18" s="1" t="s">
        <v>151</v>
      </c>
    </row>
    <row r="19" spans="1:9" x14ac:dyDescent="0.25">
      <c r="A19" s="1">
        <f t="shared" si="3"/>
        <v>14</v>
      </c>
      <c r="B19" s="1" t="s">
        <v>168</v>
      </c>
      <c r="C19" s="42" t="s">
        <v>43</v>
      </c>
      <c r="D19" s="1" cm="1">
        <f t="array" ref="D19">_xlfn.XLOOKUP(Lentelė3[[#This Row],[Pareigos]],Lentelė2[Pareigybė],Pareigybės!$C$4:$C$9)</f>
        <v>980</v>
      </c>
      <c r="E19" s="33">
        <f t="shared" si="0"/>
        <v>5.5681818181818183</v>
      </c>
      <c r="F19" s="33">
        <f t="shared" ca="1" si="1"/>
        <v>200</v>
      </c>
      <c r="G19" s="10" t="s">
        <v>49</v>
      </c>
      <c r="H19" s="1" t="str">
        <f t="shared" ca="1" si="2"/>
        <v>+370 618 60834</v>
      </c>
      <c r="I19" s="1" t="s">
        <v>152</v>
      </c>
    </row>
    <row r="20" spans="1:9" x14ac:dyDescent="0.25">
      <c r="A20" s="1">
        <f t="shared" si="3"/>
        <v>15</v>
      </c>
      <c r="B20" s="1" t="s">
        <v>169</v>
      </c>
      <c r="C20" s="42" t="s">
        <v>43</v>
      </c>
      <c r="D20" s="1" cm="1">
        <f t="array" ref="D20">_xlfn.XLOOKUP(Lentelė3[[#This Row],[Pareigos]],Lentelė2[Pareigybė],Pareigybės!$C$4:$C$9)</f>
        <v>980</v>
      </c>
      <c r="E20" s="33">
        <f t="shared" si="0"/>
        <v>5.5681818181818183</v>
      </c>
      <c r="F20" s="33">
        <f t="shared" ca="1" si="1"/>
        <v>200</v>
      </c>
      <c r="G20" s="10" t="s">
        <v>49</v>
      </c>
      <c r="H20" s="1" t="str">
        <f t="shared" ca="1" si="2"/>
        <v>+370 677 33421</v>
      </c>
      <c r="I20" s="1" t="s">
        <v>153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tabSelected="1" topLeftCell="I1" zoomScale="70" zoomScaleNormal="70" workbookViewId="0">
      <selection activeCell="N45" sqref="N45"/>
    </sheetView>
  </sheetViews>
  <sheetFormatPr defaultColWidth="9.140625" defaultRowHeight="15" x14ac:dyDescent="0.25"/>
  <cols>
    <col min="1" max="1" width="24.28515625" style="19" bestFit="1" customWidth="1"/>
    <col min="2" max="2" width="9.140625" style="19" customWidth="1"/>
    <col min="3" max="3" width="22.5703125" style="19" customWidth="1"/>
    <col min="4" max="4" width="18.5703125" style="19" customWidth="1"/>
    <col min="5" max="5" width="23.5703125" style="19" customWidth="1"/>
    <col min="6" max="6" width="26.7109375" style="19" customWidth="1"/>
    <col min="7" max="7" width="30.140625" style="19" customWidth="1"/>
    <col min="8" max="8" width="18.7109375" style="19" customWidth="1"/>
    <col min="9" max="9" width="20.140625" style="19" customWidth="1"/>
    <col min="10" max="10" width="15.140625" style="19" customWidth="1"/>
    <col min="11" max="11" width="21.7109375" style="19" customWidth="1"/>
    <col min="12" max="12" width="19.7109375" style="19" customWidth="1"/>
    <col min="13" max="13" width="40.28515625" style="19" customWidth="1"/>
    <col min="14" max="14" width="40.5703125" style="19" customWidth="1"/>
    <col min="15" max="15" width="22" style="19" customWidth="1"/>
    <col min="16" max="16" width="18.28515625" style="19" customWidth="1"/>
    <col min="17" max="17" width="10.140625" style="19" customWidth="1"/>
    <col min="18" max="18" width="14.42578125" style="19" customWidth="1"/>
    <col min="19" max="19" width="14.85546875" style="19" customWidth="1"/>
    <col min="20" max="20" width="30.140625" style="19" customWidth="1"/>
    <col min="21" max="21" width="20.7109375" style="19" customWidth="1"/>
    <col min="22" max="22" width="19.42578125" style="19" customWidth="1"/>
    <col min="23" max="23" width="24.42578125" style="19" customWidth="1"/>
    <col min="24" max="24" width="13.5703125" style="19" bestFit="1" customWidth="1"/>
    <col min="25" max="25" width="28.42578125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47" t="s">
        <v>4</v>
      </c>
      <c r="K1" s="47"/>
      <c r="L1" s="22">
        <v>2E-3</v>
      </c>
      <c r="N1" s="49" t="s">
        <v>97</v>
      </c>
      <c r="O1" s="49"/>
      <c r="P1" s="49"/>
      <c r="Q1" s="49"/>
      <c r="R1" s="27">
        <v>1.6000000000000001E-3</v>
      </c>
      <c r="S1" s="35"/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48" t="s">
        <v>76</v>
      </c>
      <c r="K2" s="48"/>
      <c r="L2" s="23"/>
      <c r="N2" s="49" t="s">
        <v>98</v>
      </c>
      <c r="O2" s="49"/>
      <c r="P2" s="49"/>
      <c r="Q2" s="49"/>
      <c r="R2" s="24">
        <v>1.4E-3</v>
      </c>
      <c r="S2" s="36"/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 t="s">
        <v>170</v>
      </c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 ca="1">SUM(J10:J24)</f>
        <v>16408.31818181818</v>
      </c>
      <c r="K7" s="23">
        <f ca="1">SUM(K10:K24)</f>
        <v>150</v>
      </c>
      <c r="L7" s="23">
        <f t="shared" ref="L7:X7" ca="1" si="0">SUM(L10:L24)</f>
        <v>1426.2479338842975</v>
      </c>
      <c r="M7" s="23">
        <f t="shared" si="0"/>
        <v>0</v>
      </c>
      <c r="N7" s="23">
        <f t="shared" ca="1" si="0"/>
        <v>660.40909090909099</v>
      </c>
      <c r="O7" s="23">
        <f t="shared" ca="1" si="0"/>
        <v>18644.975206611569</v>
      </c>
      <c r="P7" s="23">
        <f t="shared" ca="1" si="0"/>
        <v>4977.4961983471076</v>
      </c>
      <c r="Q7" s="23">
        <f t="shared" ca="1" si="0"/>
        <v>2733.4958016528935</v>
      </c>
      <c r="R7" s="23">
        <f t="shared" ca="1" si="0"/>
        <v>2569.9944979338848</v>
      </c>
      <c r="S7" s="23">
        <f t="shared" ca="1" si="0"/>
        <v>1255.3227148760334</v>
      </c>
      <c r="T7" s="23">
        <f t="shared" ca="1" si="0"/>
        <v>559.34925619834712</v>
      </c>
      <c r="U7" s="23">
        <f t="shared" ca="1" si="0"/>
        <v>12095.658469008267</v>
      </c>
      <c r="V7" s="23">
        <f t="shared" ca="1" si="0"/>
        <v>6549.316737603307</v>
      </c>
      <c r="W7" s="23">
        <f t="shared" ca="1" si="0"/>
        <v>330.01606115702481</v>
      </c>
      <c r="X7" s="23">
        <f t="shared" ca="1" si="0"/>
        <v>2700</v>
      </c>
      <c r="Y7" s="23">
        <f ca="1">SUM(Y10:Y24)</f>
        <v>3849.3167376033061</v>
      </c>
    </row>
    <row r="9" spans="1:25" s="26" customFormat="1" ht="60" x14ac:dyDescent="0.25">
      <c r="A9" s="53" t="s">
        <v>14</v>
      </c>
      <c r="B9" s="54" t="s">
        <v>15</v>
      </c>
      <c r="C9" s="54" t="s">
        <v>16</v>
      </c>
      <c r="D9" s="54" t="s">
        <v>8</v>
      </c>
      <c r="E9" s="54" t="s">
        <v>101</v>
      </c>
      <c r="F9" s="54" t="s">
        <v>102</v>
      </c>
      <c r="G9" s="54" t="s">
        <v>18</v>
      </c>
      <c r="H9" s="54" t="s">
        <v>19</v>
      </c>
      <c r="I9" s="54" t="s">
        <v>20</v>
      </c>
      <c r="J9" s="54" t="s">
        <v>103</v>
      </c>
      <c r="K9" s="54" t="s">
        <v>104</v>
      </c>
      <c r="L9" s="54" t="s">
        <v>23</v>
      </c>
      <c r="M9" s="54" t="s">
        <v>24</v>
      </c>
      <c r="N9" s="54" t="s">
        <v>25</v>
      </c>
      <c r="O9" s="54" t="s">
        <v>26</v>
      </c>
      <c r="P9" s="54" t="s">
        <v>105</v>
      </c>
      <c r="Q9" s="54" t="s">
        <v>111</v>
      </c>
      <c r="R9" s="54" t="s">
        <v>99</v>
      </c>
      <c r="S9" s="54" t="s">
        <v>100</v>
      </c>
      <c r="T9" s="54" t="s">
        <v>47</v>
      </c>
      <c r="U9" s="54" t="s">
        <v>28</v>
      </c>
      <c r="V9" s="54" t="s">
        <v>29</v>
      </c>
      <c r="W9" s="54" t="s">
        <v>30</v>
      </c>
      <c r="X9" s="54" t="s">
        <v>31</v>
      </c>
      <c r="Y9" s="55" t="s">
        <v>32</v>
      </c>
    </row>
    <row r="10" spans="1:25" x14ac:dyDescent="0.25">
      <c r="A10" s="51" t="s">
        <v>154</v>
      </c>
      <c r="B10" s="34" t="str">
        <f>"03"</f>
        <v>03</v>
      </c>
      <c r="C10" s="37">
        <f>DATE(2026,3,15)</f>
        <v>46096</v>
      </c>
      <c r="D10" s="1" t="s">
        <v>155</v>
      </c>
      <c r="E10" s="23">
        <f>_xlfn.XLOOKUP(D10,Darbuotojai!$B$6:$B$20,Darbuotojai!$D$6:$D$20)</f>
        <v>2800</v>
      </c>
      <c r="F10" s="36">
        <f>_xlfn.XLOOKUP(D10,Darbuotojai!$B$6:$B$20,Darbuotojai!$E$6:$E$20)</f>
        <v>15.909090909090908</v>
      </c>
      <c r="G10" s="23">
        <f>NETWORKDAYS(2026-3-31,2026-3-1,2026-3-11)</f>
        <v>22</v>
      </c>
      <c r="H10" s="23">
        <f ca="1">RANDBETWEEN(15,G10)</f>
        <v>17</v>
      </c>
      <c r="I10" s="23">
        <f ca="1">H10*8</f>
        <v>136</v>
      </c>
      <c r="J10" s="36">
        <f ca="1">F10*I10</f>
        <v>2163.6363636363635</v>
      </c>
      <c r="K10" s="36">
        <f ca="1">IF(G10=H10,50,0)</f>
        <v>0</v>
      </c>
      <c r="L10" s="36">
        <f ca="1">IF((G10-H10)&gt;4,J10/G10*(G10-H10),0)</f>
        <v>491.7355371900826</v>
      </c>
      <c r="M10" s="44" t="str">
        <f>"0.00"</f>
        <v>0.00</v>
      </c>
      <c r="N10" s="36">
        <f ca="1">IF(G10-H10&lt;=4,J10/H10*(G10-H10),0)</f>
        <v>0</v>
      </c>
      <c r="O10" s="36">
        <f ca="1">SUM(J10:N10)</f>
        <v>2655.3719008264461</v>
      </c>
      <c r="P10" s="36">
        <f ca="1">MAX(0, IF(O10&lt;=730, 460, IF(O10&lt;=1678, 460-0.26*(O10-730), 400-0.18*(O10-642))))</f>
        <v>37.593057851239735</v>
      </c>
      <c r="Q10" s="36">
        <f ca="1">(O10-P10)*0.2</f>
        <v>523.55576859504129</v>
      </c>
      <c r="R10" s="36">
        <f ca="1">(O10-N10)*0.1429</f>
        <v>379.45264462809916</v>
      </c>
      <c r="S10" s="36">
        <f ca="1">(O10-N10)*0.0698</f>
        <v>185.34495867768595</v>
      </c>
      <c r="T10" s="36">
        <f ca="1">O10*0.03</f>
        <v>79.661157024793383</v>
      </c>
      <c r="U10" s="36">
        <f ca="1">SUM(P10:T10)</f>
        <v>1205.6075867768593</v>
      </c>
      <c r="V10" s="36">
        <f ca="1">O10-U10</f>
        <v>1449.7643140495868</v>
      </c>
      <c r="W10" s="36">
        <f ca="1">$G$5*O10</f>
        <v>47.000082644628094</v>
      </c>
      <c r="X10" s="36">
        <f ca="1">Darbuotojai!F6</f>
        <v>200</v>
      </c>
      <c r="Y10" s="52">
        <f ca="1">V10-X10</f>
        <v>1249.7643140495868</v>
      </c>
    </row>
    <row r="11" spans="1:25" x14ac:dyDescent="0.25">
      <c r="A11" s="51" t="s">
        <v>154</v>
      </c>
      <c r="B11" s="38" t="str">
        <f t="shared" ref="B11:B24" si="1">"03"</f>
        <v>03</v>
      </c>
      <c r="C11" s="37">
        <f t="shared" ref="C11:C24" si="2">DATE(2026,3,15)</f>
        <v>46096</v>
      </c>
      <c r="D11" s="1" t="s">
        <v>156</v>
      </c>
      <c r="E11" s="23">
        <f>_xlfn.XLOOKUP(D11,Darbuotojai!$B$6:$B$20,Darbuotojai!$D$6:$D$20)</f>
        <v>1600</v>
      </c>
      <c r="F11" s="36">
        <f>_xlfn.XLOOKUP(D11,Darbuotojai!$B$6:$B$20,Darbuotojai!$E$6:$E$20)</f>
        <v>9.0909090909090917</v>
      </c>
      <c r="G11" s="23">
        <f t="shared" ref="G11:G24" si="3">NETWORKDAYS(2026-3-31,2026-3-1,2026-3-11)</f>
        <v>22</v>
      </c>
      <c r="H11" s="23">
        <f t="shared" ref="H11:H24" ca="1" si="4">RANDBETWEEN(15,G11)</f>
        <v>20</v>
      </c>
      <c r="I11" s="23">
        <f t="shared" ref="I11:I24" ca="1" si="5">H11*8</f>
        <v>160</v>
      </c>
      <c r="J11" s="36">
        <f t="shared" ref="J11:J24" ca="1" si="6">F11*I11</f>
        <v>1454.5454545454547</v>
      </c>
      <c r="K11" s="36">
        <f t="shared" ref="K11:K24" ca="1" si="7">IF(G11=H11,50,0)</f>
        <v>0</v>
      </c>
      <c r="L11" s="36">
        <f ca="1">IF((G11-H11)&gt;=4,J11/G11*(G11-H11),0)</f>
        <v>0</v>
      </c>
      <c r="M11" s="44" t="str">
        <f t="shared" ref="M11:M24" si="8">"0.00"</f>
        <v>0.00</v>
      </c>
      <c r="N11" s="36">
        <f t="shared" ref="N11:N24" ca="1" si="9">IF(G11-H11&lt;4,J11/H11*(G11-H11),0)</f>
        <v>145.45454545454547</v>
      </c>
      <c r="O11" s="36">
        <f t="shared" ref="O11:O24" ca="1" si="10">SUM(J11:N11)</f>
        <v>1600.0000000000002</v>
      </c>
      <c r="P11" s="36">
        <f t="shared" ref="P11:P24" ca="1" si="11">MAX(0, IF(O11&lt;=730, 460, IF(O11&lt;=1678, 460-0.26*(O11-730), 400-0.18*(O11-642))))</f>
        <v>233.79999999999993</v>
      </c>
      <c r="Q11" s="36">
        <f t="shared" ref="Q11:Q24" ca="1" si="12">(O11-P11)*0.2</f>
        <v>273.24000000000007</v>
      </c>
      <c r="R11" s="36">
        <f t="shared" ref="R11:R24" ca="1" si="13">(O11-N11)*0.1429</f>
        <v>207.85454545454547</v>
      </c>
      <c r="S11" s="36">
        <f t="shared" ref="S11:S24" ca="1" si="14">(O11-N11)*0.0698</f>
        <v>101.52727272727275</v>
      </c>
      <c r="T11" s="36">
        <f t="shared" ref="T11:T24" ca="1" si="15">O11*0.03</f>
        <v>48.000000000000007</v>
      </c>
      <c r="U11" s="36">
        <f t="shared" ref="U11:U24" ca="1" si="16">SUM(P11:T11)</f>
        <v>864.42181818181814</v>
      </c>
      <c r="V11" s="36">
        <f t="shared" ref="V11:V24" ca="1" si="17">O11-U11</f>
        <v>735.57818181818209</v>
      </c>
      <c r="W11" s="36">
        <f t="shared" ref="W11:W24" ca="1" si="18">$G$5*O11</f>
        <v>28.320000000000004</v>
      </c>
      <c r="X11" s="36">
        <f ca="1">Darbuotojai!F7</f>
        <v>150</v>
      </c>
      <c r="Y11" s="52">
        <f t="shared" ref="Y11:Y24" ca="1" si="19">V11-X11</f>
        <v>585.57818181818209</v>
      </c>
    </row>
    <row r="12" spans="1:25" x14ac:dyDescent="0.25">
      <c r="A12" s="51" t="s">
        <v>154</v>
      </c>
      <c r="B12" s="38" t="str">
        <f t="shared" si="1"/>
        <v>03</v>
      </c>
      <c r="C12" s="37">
        <f t="shared" si="2"/>
        <v>46096</v>
      </c>
      <c r="D12" s="1" t="s">
        <v>157</v>
      </c>
      <c r="E12" s="23">
        <f>_xlfn.XLOOKUP(D12,Darbuotojai!$B$6:$B$20,Darbuotojai!$D$6:$D$20)</f>
        <v>1600</v>
      </c>
      <c r="F12" s="36">
        <f>_xlfn.XLOOKUP(D12,Darbuotojai!$B$6:$B$20,Darbuotojai!$E$6:$E$20)</f>
        <v>9.0909090909090917</v>
      </c>
      <c r="G12" s="23">
        <f t="shared" si="3"/>
        <v>22</v>
      </c>
      <c r="H12" s="23">
        <f t="shared" ca="1" si="4"/>
        <v>22</v>
      </c>
      <c r="I12" s="23">
        <f t="shared" ca="1" si="5"/>
        <v>176</v>
      </c>
      <c r="J12" s="36">
        <f t="shared" ca="1" si="6"/>
        <v>1600.0000000000002</v>
      </c>
      <c r="K12" s="36">
        <f t="shared" ca="1" si="7"/>
        <v>50</v>
      </c>
      <c r="L12" s="36">
        <f t="shared" ref="L12:L24" ca="1" si="20">IF((G12-H12)&gt;=4,J12/G12*(G12-H12),0)</f>
        <v>0</v>
      </c>
      <c r="M12" s="44" t="str">
        <f t="shared" si="8"/>
        <v>0.00</v>
      </c>
      <c r="N12" s="36">
        <f t="shared" ca="1" si="9"/>
        <v>0</v>
      </c>
      <c r="O12" s="36">
        <f t="shared" ca="1" si="10"/>
        <v>1650.0000000000002</v>
      </c>
      <c r="P12" s="36">
        <f t="shared" ca="1" si="11"/>
        <v>220.79999999999993</v>
      </c>
      <c r="Q12" s="36">
        <f t="shared" ca="1" si="12"/>
        <v>285.84000000000009</v>
      </c>
      <c r="R12" s="36">
        <f t="shared" ca="1" si="13"/>
        <v>235.78500000000003</v>
      </c>
      <c r="S12" s="36">
        <f t="shared" ca="1" si="14"/>
        <v>115.17000000000002</v>
      </c>
      <c r="T12" s="36">
        <f t="shared" ca="1" si="15"/>
        <v>49.500000000000007</v>
      </c>
      <c r="U12" s="36">
        <f t="shared" ca="1" si="16"/>
        <v>907.09500000000003</v>
      </c>
      <c r="V12" s="36">
        <f t="shared" ca="1" si="17"/>
        <v>742.9050000000002</v>
      </c>
      <c r="W12" s="36">
        <f t="shared" ca="1" si="18"/>
        <v>29.205000000000005</v>
      </c>
      <c r="X12" s="36">
        <f ca="1">Darbuotojai!F8</f>
        <v>150</v>
      </c>
      <c r="Y12" s="52">
        <f t="shared" ca="1" si="19"/>
        <v>592.9050000000002</v>
      </c>
    </row>
    <row r="13" spans="1:25" x14ac:dyDescent="0.25">
      <c r="A13" s="51" t="s">
        <v>154</v>
      </c>
      <c r="B13" s="38" t="str">
        <f t="shared" si="1"/>
        <v>03</v>
      </c>
      <c r="C13" s="37">
        <f t="shared" si="2"/>
        <v>46096</v>
      </c>
      <c r="D13" s="1" t="s">
        <v>158</v>
      </c>
      <c r="E13" s="23">
        <f>_xlfn.XLOOKUP(D13,Darbuotojai!$B$6:$B$20,Darbuotojai!$D$6:$D$20)</f>
        <v>1505</v>
      </c>
      <c r="F13" s="36">
        <f>_xlfn.XLOOKUP(D13,Darbuotojai!$B$6:$B$20,Darbuotojai!$E$6:$E$20)</f>
        <v>8.5511363636363633</v>
      </c>
      <c r="G13" s="23">
        <f t="shared" si="3"/>
        <v>22</v>
      </c>
      <c r="H13" s="23">
        <f t="shared" ca="1" si="4"/>
        <v>22</v>
      </c>
      <c r="I13" s="23">
        <f t="shared" ca="1" si="5"/>
        <v>176</v>
      </c>
      <c r="J13" s="36">
        <f t="shared" ca="1" si="6"/>
        <v>1505</v>
      </c>
      <c r="K13" s="36">
        <f t="shared" ca="1" si="7"/>
        <v>50</v>
      </c>
      <c r="L13" s="36">
        <f t="shared" ca="1" si="20"/>
        <v>0</v>
      </c>
      <c r="M13" s="44" t="str">
        <f t="shared" si="8"/>
        <v>0.00</v>
      </c>
      <c r="N13" s="36">
        <f t="shared" ca="1" si="9"/>
        <v>0</v>
      </c>
      <c r="O13" s="36">
        <f t="shared" ca="1" si="10"/>
        <v>1555</v>
      </c>
      <c r="P13" s="36">
        <f t="shared" ca="1" si="11"/>
        <v>245.5</v>
      </c>
      <c r="Q13" s="36">
        <f t="shared" ca="1" si="12"/>
        <v>261.90000000000003</v>
      </c>
      <c r="R13" s="36">
        <f t="shared" ca="1" si="13"/>
        <v>222.20949999999999</v>
      </c>
      <c r="S13" s="36">
        <f t="shared" ca="1" si="14"/>
        <v>108.539</v>
      </c>
      <c r="T13" s="36">
        <f t="shared" ca="1" si="15"/>
        <v>46.65</v>
      </c>
      <c r="U13" s="36">
        <f t="shared" ca="1" si="16"/>
        <v>884.79849999999999</v>
      </c>
      <c r="V13" s="36">
        <f t="shared" ca="1" si="17"/>
        <v>670.20150000000001</v>
      </c>
      <c r="W13" s="36">
        <f t="shared" ca="1" si="18"/>
        <v>27.523500000000002</v>
      </c>
      <c r="X13" s="36">
        <f ca="1">Darbuotojai!F9</f>
        <v>150</v>
      </c>
      <c r="Y13" s="52">
        <f t="shared" ca="1" si="19"/>
        <v>520.20150000000001</v>
      </c>
    </row>
    <row r="14" spans="1:25" x14ac:dyDescent="0.25">
      <c r="A14" s="51" t="s">
        <v>154</v>
      </c>
      <c r="B14" s="38" t="str">
        <f t="shared" si="1"/>
        <v>03</v>
      </c>
      <c r="C14" s="37">
        <f t="shared" si="2"/>
        <v>46096</v>
      </c>
      <c r="D14" s="1" t="s">
        <v>159</v>
      </c>
      <c r="E14" s="23">
        <f>_xlfn.XLOOKUP(D14,Darbuotojai!$B$6:$B$20,Darbuotojai!$D$6:$D$20)</f>
        <v>1199</v>
      </c>
      <c r="F14" s="36">
        <f>_xlfn.XLOOKUP(D14,Darbuotojai!$B$6:$B$20,Darbuotojai!$E$6:$E$20)</f>
        <v>6.8125</v>
      </c>
      <c r="G14" s="23">
        <f t="shared" si="3"/>
        <v>22</v>
      </c>
      <c r="H14" s="23">
        <f t="shared" ca="1" si="4"/>
        <v>21</v>
      </c>
      <c r="I14" s="23">
        <f t="shared" ca="1" si="5"/>
        <v>168</v>
      </c>
      <c r="J14" s="36">
        <f t="shared" ca="1" si="6"/>
        <v>1144.5</v>
      </c>
      <c r="K14" s="36">
        <f t="shared" ca="1" si="7"/>
        <v>0</v>
      </c>
      <c r="L14" s="36">
        <f t="shared" ca="1" si="20"/>
        <v>0</v>
      </c>
      <c r="M14" s="44" t="str">
        <f t="shared" si="8"/>
        <v>0.00</v>
      </c>
      <c r="N14" s="36">
        <f t="shared" ca="1" si="9"/>
        <v>54.5</v>
      </c>
      <c r="O14" s="36">
        <f t="shared" ca="1" si="10"/>
        <v>1199</v>
      </c>
      <c r="P14" s="36">
        <f t="shared" ca="1" si="11"/>
        <v>338.06</v>
      </c>
      <c r="Q14" s="36">
        <f t="shared" ca="1" si="12"/>
        <v>172.18800000000002</v>
      </c>
      <c r="R14" s="36">
        <f t="shared" ca="1" si="13"/>
        <v>163.54904999999999</v>
      </c>
      <c r="S14" s="36">
        <f t="shared" ca="1" si="14"/>
        <v>79.886099999999999</v>
      </c>
      <c r="T14" s="36">
        <f t="shared" ca="1" si="15"/>
        <v>35.97</v>
      </c>
      <c r="U14" s="36">
        <f t="shared" ca="1" si="16"/>
        <v>789.6531500000001</v>
      </c>
      <c r="V14" s="36">
        <f t="shared" ca="1" si="17"/>
        <v>409.3468499999999</v>
      </c>
      <c r="W14" s="36">
        <f t="shared" ca="1" si="18"/>
        <v>21.222300000000001</v>
      </c>
      <c r="X14" s="36">
        <f ca="1">Darbuotojai!F10</f>
        <v>150</v>
      </c>
      <c r="Y14" s="52">
        <f t="shared" ca="1" si="19"/>
        <v>259.3468499999999</v>
      </c>
    </row>
    <row r="15" spans="1:25" x14ac:dyDescent="0.25">
      <c r="A15" s="51" t="s">
        <v>154</v>
      </c>
      <c r="B15" s="38" t="str">
        <f t="shared" si="1"/>
        <v>03</v>
      </c>
      <c r="C15" s="37">
        <f t="shared" si="2"/>
        <v>46096</v>
      </c>
      <c r="D15" s="1" t="s">
        <v>160</v>
      </c>
      <c r="E15" s="23">
        <f>_xlfn.XLOOKUP(D15,Darbuotojai!$B$6:$B$20,Darbuotojai!$D$6:$D$20)</f>
        <v>1199</v>
      </c>
      <c r="F15" s="36">
        <f>_xlfn.XLOOKUP(D15,Darbuotojai!$B$6:$B$20,Darbuotojai!$E$6:$E$20)</f>
        <v>6.8125</v>
      </c>
      <c r="G15" s="23">
        <f t="shared" si="3"/>
        <v>22</v>
      </c>
      <c r="H15" s="23">
        <f t="shared" ca="1" si="4"/>
        <v>16</v>
      </c>
      <c r="I15" s="23">
        <f t="shared" ca="1" si="5"/>
        <v>128</v>
      </c>
      <c r="J15" s="36">
        <f t="shared" ca="1" si="6"/>
        <v>872</v>
      </c>
      <c r="K15" s="36">
        <f t="shared" ca="1" si="7"/>
        <v>0</v>
      </c>
      <c r="L15" s="36">
        <f t="shared" ca="1" si="20"/>
        <v>237.81818181818181</v>
      </c>
      <c r="M15" s="44" t="str">
        <f t="shared" si="8"/>
        <v>0.00</v>
      </c>
      <c r="N15" s="36">
        <f t="shared" ca="1" si="9"/>
        <v>0</v>
      </c>
      <c r="O15" s="36">
        <f t="shared" ca="1" si="10"/>
        <v>1109.8181818181818</v>
      </c>
      <c r="P15" s="36">
        <f t="shared" ca="1" si="11"/>
        <v>361.24727272727273</v>
      </c>
      <c r="Q15" s="36">
        <f t="shared" ca="1" si="12"/>
        <v>149.7141818181818</v>
      </c>
      <c r="R15" s="36">
        <f t="shared" ca="1" si="13"/>
        <v>158.59301818181817</v>
      </c>
      <c r="S15" s="36">
        <f t="shared" ca="1" si="14"/>
        <v>77.465309090909088</v>
      </c>
      <c r="T15" s="36">
        <f t="shared" ca="1" si="15"/>
        <v>33.29454545454545</v>
      </c>
      <c r="U15" s="36">
        <f t="shared" ca="1" si="16"/>
        <v>780.31432727272716</v>
      </c>
      <c r="V15" s="36">
        <f t="shared" ca="1" si="17"/>
        <v>329.5038545454546</v>
      </c>
      <c r="W15" s="36">
        <f t="shared" ca="1" si="18"/>
        <v>19.643781818181818</v>
      </c>
      <c r="X15" s="36">
        <f ca="1">Darbuotojai!F11</f>
        <v>200</v>
      </c>
      <c r="Y15" s="52">
        <f t="shared" ca="1" si="19"/>
        <v>129.5038545454546</v>
      </c>
    </row>
    <row r="16" spans="1:25" x14ac:dyDescent="0.25">
      <c r="A16" s="51" t="s">
        <v>154</v>
      </c>
      <c r="B16" s="38" t="str">
        <f t="shared" si="1"/>
        <v>03</v>
      </c>
      <c r="C16" s="37">
        <f t="shared" si="2"/>
        <v>46096</v>
      </c>
      <c r="D16" s="1" t="s">
        <v>161</v>
      </c>
      <c r="E16" s="23">
        <f>_xlfn.XLOOKUP(D16,Darbuotojai!$B$6:$B$20,Darbuotojai!$D$6:$D$20)</f>
        <v>1090</v>
      </c>
      <c r="F16" s="36">
        <f>_xlfn.XLOOKUP(D16,Darbuotojai!$B$6:$B$20,Darbuotojai!$E$6:$E$20)</f>
        <v>6.1931818181818183</v>
      </c>
      <c r="G16" s="23">
        <f t="shared" si="3"/>
        <v>22</v>
      </c>
      <c r="H16" s="23">
        <f t="shared" ca="1" si="4"/>
        <v>18</v>
      </c>
      <c r="I16" s="23">
        <f t="shared" ca="1" si="5"/>
        <v>144</v>
      </c>
      <c r="J16" s="36">
        <f t="shared" ca="1" si="6"/>
        <v>891.81818181818187</v>
      </c>
      <c r="K16" s="36">
        <f t="shared" ca="1" si="7"/>
        <v>0</v>
      </c>
      <c r="L16" s="36">
        <f t="shared" ca="1" si="20"/>
        <v>162.14876033057851</v>
      </c>
      <c r="M16" s="44" t="str">
        <f t="shared" si="8"/>
        <v>0.00</v>
      </c>
      <c r="N16" s="36">
        <f t="shared" ca="1" si="9"/>
        <v>0</v>
      </c>
      <c r="O16" s="36">
        <f t="shared" ca="1" si="10"/>
        <v>1053.9669421487604</v>
      </c>
      <c r="P16" s="36">
        <f t="shared" ca="1" si="11"/>
        <v>375.76859504132233</v>
      </c>
      <c r="Q16" s="36">
        <f t="shared" ca="1" si="12"/>
        <v>135.63966942148761</v>
      </c>
      <c r="R16" s="36">
        <f t="shared" ca="1" si="13"/>
        <v>150.61187603305785</v>
      </c>
      <c r="S16" s="36">
        <f t="shared" ca="1" si="14"/>
        <v>73.566892561983479</v>
      </c>
      <c r="T16" s="36">
        <f t="shared" ca="1" si="15"/>
        <v>31.61900826446281</v>
      </c>
      <c r="U16" s="36">
        <f t="shared" ca="1" si="16"/>
        <v>767.20604132231392</v>
      </c>
      <c r="V16" s="36">
        <f t="shared" ca="1" si="17"/>
        <v>286.76090082644646</v>
      </c>
      <c r="W16" s="36">
        <f t="shared" ca="1" si="18"/>
        <v>18.65521487603306</v>
      </c>
      <c r="X16" s="36">
        <f ca="1">Darbuotojai!F12</f>
        <v>200</v>
      </c>
      <c r="Y16" s="52">
        <f t="shared" ca="1" si="19"/>
        <v>86.760900826446459</v>
      </c>
    </row>
    <row r="17" spans="1:25" x14ac:dyDescent="0.25">
      <c r="A17" s="51" t="s">
        <v>154</v>
      </c>
      <c r="B17" s="38" t="str">
        <f t="shared" si="1"/>
        <v>03</v>
      </c>
      <c r="C17" s="37">
        <f t="shared" si="2"/>
        <v>46096</v>
      </c>
      <c r="D17" s="1" t="s">
        <v>162</v>
      </c>
      <c r="E17" s="23">
        <f>_xlfn.XLOOKUP(D17,Darbuotojai!$B$6:$B$20,Darbuotojai!$D$6:$D$20)</f>
        <v>1090</v>
      </c>
      <c r="F17" s="36">
        <f>_xlfn.XLOOKUP(D17,Darbuotojai!$B$6:$B$20,Darbuotojai!$E$6:$E$20)</f>
        <v>6.1931818181818183</v>
      </c>
      <c r="G17" s="23">
        <f t="shared" si="3"/>
        <v>22</v>
      </c>
      <c r="H17" s="23">
        <f t="shared" ca="1" si="4"/>
        <v>19</v>
      </c>
      <c r="I17" s="23">
        <f t="shared" ca="1" si="5"/>
        <v>152</v>
      </c>
      <c r="J17" s="36">
        <f t="shared" ca="1" si="6"/>
        <v>941.36363636363637</v>
      </c>
      <c r="K17" s="36">
        <f t="shared" ca="1" si="7"/>
        <v>0</v>
      </c>
      <c r="L17" s="36">
        <f t="shared" ca="1" si="20"/>
        <v>0</v>
      </c>
      <c r="M17" s="44" t="str">
        <f t="shared" si="8"/>
        <v>0.00</v>
      </c>
      <c r="N17" s="36">
        <f t="shared" ca="1" si="9"/>
        <v>148.63636363636363</v>
      </c>
      <c r="O17" s="36">
        <f t="shared" ca="1" si="10"/>
        <v>1090</v>
      </c>
      <c r="P17" s="36">
        <f t="shared" ca="1" si="11"/>
        <v>366.4</v>
      </c>
      <c r="Q17" s="36">
        <f t="shared" ca="1" si="12"/>
        <v>144.72</v>
      </c>
      <c r="R17" s="36">
        <f t="shared" ca="1" si="13"/>
        <v>134.52086363636363</v>
      </c>
      <c r="S17" s="36">
        <f t="shared" ca="1" si="14"/>
        <v>65.707181818181823</v>
      </c>
      <c r="T17" s="36">
        <f t="shared" ca="1" si="15"/>
        <v>32.699999999999996</v>
      </c>
      <c r="U17" s="36">
        <f t="shared" ca="1" si="16"/>
        <v>744.04804545454544</v>
      </c>
      <c r="V17" s="36">
        <f t="shared" ca="1" si="17"/>
        <v>345.95195454545456</v>
      </c>
      <c r="W17" s="36">
        <f t="shared" ca="1" si="18"/>
        <v>19.292999999999999</v>
      </c>
      <c r="X17" s="36">
        <f ca="1">Darbuotojai!F13</f>
        <v>200</v>
      </c>
      <c r="Y17" s="52">
        <f t="shared" ca="1" si="19"/>
        <v>145.95195454545456</v>
      </c>
    </row>
    <row r="18" spans="1:25" x14ac:dyDescent="0.25">
      <c r="A18" s="51" t="s">
        <v>154</v>
      </c>
      <c r="B18" s="38" t="str">
        <f t="shared" si="1"/>
        <v>03</v>
      </c>
      <c r="C18" s="37">
        <f t="shared" si="2"/>
        <v>46096</v>
      </c>
      <c r="D18" s="1" t="s">
        <v>163</v>
      </c>
      <c r="E18" s="23">
        <f>_xlfn.XLOOKUP(D18,Darbuotojai!$B$6:$B$20,Darbuotojai!$D$6:$D$20)</f>
        <v>980</v>
      </c>
      <c r="F18" s="36">
        <f>_xlfn.XLOOKUP(D18,Darbuotojai!$B$6:$B$20,Darbuotojai!$E$6:$E$20)</f>
        <v>5.5681818181818183</v>
      </c>
      <c r="G18" s="23">
        <f t="shared" si="3"/>
        <v>22</v>
      </c>
      <c r="H18" s="23">
        <f t="shared" ca="1" si="4"/>
        <v>19</v>
      </c>
      <c r="I18" s="23">
        <f t="shared" ca="1" si="5"/>
        <v>152</v>
      </c>
      <c r="J18" s="36">
        <f t="shared" ca="1" si="6"/>
        <v>846.36363636363637</v>
      </c>
      <c r="K18" s="36">
        <f t="shared" ca="1" si="7"/>
        <v>0</v>
      </c>
      <c r="L18" s="36">
        <f t="shared" ca="1" si="20"/>
        <v>0</v>
      </c>
      <c r="M18" s="44" t="str">
        <f t="shared" si="8"/>
        <v>0.00</v>
      </c>
      <c r="N18" s="36">
        <f t="shared" ca="1" si="9"/>
        <v>133.63636363636363</v>
      </c>
      <c r="O18" s="36">
        <f t="shared" ca="1" si="10"/>
        <v>980</v>
      </c>
      <c r="P18" s="36">
        <f t="shared" ca="1" si="11"/>
        <v>395</v>
      </c>
      <c r="Q18" s="36">
        <f t="shared" ca="1" si="12"/>
        <v>117</v>
      </c>
      <c r="R18" s="36">
        <f t="shared" ca="1" si="13"/>
        <v>120.94536363636364</v>
      </c>
      <c r="S18" s="36">
        <f t="shared" ca="1" si="14"/>
        <v>59.076181818181823</v>
      </c>
      <c r="T18" s="36">
        <f t="shared" ca="1" si="15"/>
        <v>29.4</v>
      </c>
      <c r="U18" s="36">
        <f t="shared" ca="1" si="16"/>
        <v>721.42154545454537</v>
      </c>
      <c r="V18" s="36">
        <f t="shared" ca="1" si="17"/>
        <v>258.57845454545463</v>
      </c>
      <c r="W18" s="36">
        <f t="shared" ca="1" si="18"/>
        <v>17.346</v>
      </c>
      <c r="X18" s="36">
        <f ca="1">Darbuotojai!F14</f>
        <v>200</v>
      </c>
      <c r="Y18" s="52">
        <f t="shared" ca="1" si="19"/>
        <v>58.578454545454633</v>
      </c>
    </row>
    <row r="19" spans="1:25" x14ac:dyDescent="0.25">
      <c r="A19" s="51" t="s">
        <v>154</v>
      </c>
      <c r="B19" s="38" t="str">
        <f t="shared" si="1"/>
        <v>03</v>
      </c>
      <c r="C19" s="37">
        <f t="shared" si="2"/>
        <v>46096</v>
      </c>
      <c r="D19" s="1" t="s">
        <v>164</v>
      </c>
      <c r="E19" s="23">
        <f>_xlfn.XLOOKUP(D19,Darbuotojai!$B$6:$B$20,Darbuotojai!$D$6:$D$20)</f>
        <v>980</v>
      </c>
      <c r="F19" s="36">
        <f>_xlfn.XLOOKUP(D19,Darbuotojai!$B$6:$B$20,Darbuotojai!$E$6:$E$20)</f>
        <v>5.5681818181818183</v>
      </c>
      <c r="G19" s="23">
        <f t="shared" si="3"/>
        <v>22</v>
      </c>
      <c r="H19" s="23">
        <f t="shared" ca="1" si="4"/>
        <v>16</v>
      </c>
      <c r="I19" s="23">
        <f t="shared" ca="1" si="5"/>
        <v>128</v>
      </c>
      <c r="J19" s="36">
        <f t="shared" ca="1" si="6"/>
        <v>712.72727272727275</v>
      </c>
      <c r="K19" s="36">
        <f t="shared" ca="1" si="7"/>
        <v>0</v>
      </c>
      <c r="L19" s="36">
        <f t="shared" ca="1" si="20"/>
        <v>194.38016528925621</v>
      </c>
      <c r="M19" s="44" t="str">
        <f t="shared" si="8"/>
        <v>0.00</v>
      </c>
      <c r="N19" s="36">
        <f t="shared" ca="1" si="9"/>
        <v>0</v>
      </c>
      <c r="O19" s="36">
        <f t="shared" ca="1" si="10"/>
        <v>907.10743801652893</v>
      </c>
      <c r="P19" s="36">
        <f t="shared" ca="1" si="11"/>
        <v>413.95206611570245</v>
      </c>
      <c r="Q19" s="36">
        <f t="shared" ca="1" si="12"/>
        <v>98.631074380165302</v>
      </c>
      <c r="R19" s="36">
        <f t="shared" ca="1" si="13"/>
        <v>129.62565289256199</v>
      </c>
      <c r="S19" s="36">
        <f t="shared" ca="1" si="14"/>
        <v>63.316099173553724</v>
      </c>
      <c r="T19" s="36">
        <f t="shared" ca="1" si="15"/>
        <v>27.213223140495867</v>
      </c>
      <c r="U19" s="36">
        <f t="shared" ca="1" si="16"/>
        <v>732.73811570247938</v>
      </c>
      <c r="V19" s="36">
        <f t="shared" ca="1" si="17"/>
        <v>174.36932231404955</v>
      </c>
      <c r="W19" s="36">
        <f t="shared" ca="1" si="18"/>
        <v>16.055801652892562</v>
      </c>
      <c r="X19" s="36">
        <f ca="1">Darbuotojai!F15</f>
        <v>200</v>
      </c>
      <c r="Y19" s="52">
        <f t="shared" ca="1" si="19"/>
        <v>-25.630677685950445</v>
      </c>
    </row>
    <row r="20" spans="1:25" x14ac:dyDescent="0.25">
      <c r="A20" s="51" t="s">
        <v>154</v>
      </c>
      <c r="B20" s="38" t="str">
        <f t="shared" si="1"/>
        <v>03</v>
      </c>
      <c r="C20" s="37">
        <f t="shared" si="2"/>
        <v>46096</v>
      </c>
      <c r="D20" s="1" t="s">
        <v>165</v>
      </c>
      <c r="E20" s="23">
        <f>_xlfn.XLOOKUP(D20,Darbuotojai!$B$6:$B$20,Darbuotojai!$D$6:$D$20)</f>
        <v>980</v>
      </c>
      <c r="F20" s="36">
        <f>_xlfn.XLOOKUP(D20,Darbuotojai!$B$6:$B$20,Darbuotojai!$E$6:$E$20)</f>
        <v>5.5681818181818183</v>
      </c>
      <c r="G20" s="23">
        <f t="shared" si="3"/>
        <v>22</v>
      </c>
      <c r="H20" s="23">
        <f t="shared" ca="1" si="4"/>
        <v>18</v>
      </c>
      <c r="I20" s="23">
        <f t="shared" ca="1" si="5"/>
        <v>144</v>
      </c>
      <c r="J20" s="36">
        <f t="shared" ca="1" si="6"/>
        <v>801.81818181818187</v>
      </c>
      <c r="K20" s="36">
        <f t="shared" ca="1" si="7"/>
        <v>0</v>
      </c>
      <c r="L20" s="36">
        <f t="shared" ca="1" si="20"/>
        <v>145.78512396694217</v>
      </c>
      <c r="M20" s="44" t="str">
        <f t="shared" si="8"/>
        <v>0.00</v>
      </c>
      <c r="N20" s="36">
        <f t="shared" ca="1" si="9"/>
        <v>0</v>
      </c>
      <c r="O20" s="36">
        <f t="shared" ca="1" si="10"/>
        <v>947.60330578512401</v>
      </c>
      <c r="P20" s="36">
        <f t="shared" ca="1" si="11"/>
        <v>403.42314049586776</v>
      </c>
      <c r="Q20" s="36">
        <f t="shared" ca="1" si="12"/>
        <v>108.83603305785125</v>
      </c>
      <c r="R20" s="36">
        <f t="shared" ca="1" si="13"/>
        <v>135.41251239669421</v>
      </c>
      <c r="S20" s="36">
        <f t="shared" ca="1" si="14"/>
        <v>66.142710743801658</v>
      </c>
      <c r="T20" s="36">
        <f t="shared" ca="1" si="15"/>
        <v>28.428099173553719</v>
      </c>
      <c r="U20" s="36">
        <f t="shared" ca="1" si="16"/>
        <v>742.24249586776864</v>
      </c>
      <c r="V20" s="36">
        <f t="shared" ca="1" si="17"/>
        <v>205.36080991735537</v>
      </c>
      <c r="W20" s="36">
        <f t="shared" ca="1" si="18"/>
        <v>16.772578512396695</v>
      </c>
      <c r="X20" s="36">
        <f ca="1">Darbuotojai!F16</f>
        <v>150</v>
      </c>
      <c r="Y20" s="52">
        <f t="shared" ca="1" si="19"/>
        <v>55.360809917355368</v>
      </c>
    </row>
    <row r="21" spans="1:25" x14ac:dyDescent="0.25">
      <c r="A21" s="51" t="s">
        <v>154</v>
      </c>
      <c r="B21" s="38" t="str">
        <f t="shared" si="1"/>
        <v>03</v>
      </c>
      <c r="C21" s="37">
        <f t="shared" si="2"/>
        <v>46096</v>
      </c>
      <c r="D21" s="1" t="s">
        <v>166</v>
      </c>
      <c r="E21" s="23">
        <f>_xlfn.XLOOKUP(D21,Darbuotojai!$B$6:$B$20,Darbuotojai!$D$6:$D$20)</f>
        <v>980</v>
      </c>
      <c r="F21" s="36">
        <f>_xlfn.XLOOKUP(D21,Darbuotojai!$B$6:$B$20,Darbuotojai!$E$6:$E$20)</f>
        <v>5.5681818181818183</v>
      </c>
      <c r="G21" s="23">
        <f t="shared" si="3"/>
        <v>22</v>
      </c>
      <c r="H21" s="23">
        <f t="shared" ca="1" si="4"/>
        <v>22</v>
      </c>
      <c r="I21" s="23">
        <f t="shared" ca="1" si="5"/>
        <v>176</v>
      </c>
      <c r="J21" s="36">
        <f t="shared" ca="1" si="6"/>
        <v>980</v>
      </c>
      <c r="K21" s="36">
        <f t="shared" ca="1" si="7"/>
        <v>50</v>
      </c>
      <c r="L21" s="36">
        <f t="shared" ca="1" si="20"/>
        <v>0</v>
      </c>
      <c r="M21" s="44" t="str">
        <f t="shared" si="8"/>
        <v>0.00</v>
      </c>
      <c r="N21" s="36">
        <f t="shared" ca="1" si="9"/>
        <v>0</v>
      </c>
      <c r="O21" s="36">
        <f t="shared" ca="1" si="10"/>
        <v>1030</v>
      </c>
      <c r="P21" s="36">
        <f t="shared" ca="1" si="11"/>
        <v>382</v>
      </c>
      <c r="Q21" s="36">
        <f t="shared" ca="1" si="12"/>
        <v>129.6</v>
      </c>
      <c r="R21" s="36">
        <f t="shared" ca="1" si="13"/>
        <v>147.18700000000001</v>
      </c>
      <c r="S21" s="36">
        <f t="shared" ca="1" si="14"/>
        <v>71.894000000000005</v>
      </c>
      <c r="T21" s="36">
        <f t="shared" ca="1" si="15"/>
        <v>30.9</v>
      </c>
      <c r="U21" s="36">
        <f t="shared" ca="1" si="16"/>
        <v>761.58100000000002</v>
      </c>
      <c r="V21" s="36">
        <f t="shared" ca="1" si="17"/>
        <v>268.41899999999998</v>
      </c>
      <c r="W21" s="36">
        <f t="shared" ca="1" si="18"/>
        <v>18.231000000000002</v>
      </c>
      <c r="X21" s="36">
        <f ca="1">Darbuotojai!F17</f>
        <v>200</v>
      </c>
      <c r="Y21" s="52">
        <f t="shared" ca="1" si="19"/>
        <v>68.418999999999983</v>
      </c>
    </row>
    <row r="22" spans="1:25" x14ac:dyDescent="0.25">
      <c r="A22" s="51" t="s">
        <v>154</v>
      </c>
      <c r="B22" s="38" t="str">
        <f t="shared" si="1"/>
        <v>03</v>
      </c>
      <c r="C22" s="37">
        <f t="shared" si="2"/>
        <v>46096</v>
      </c>
      <c r="D22" s="1" t="s">
        <v>167</v>
      </c>
      <c r="E22" s="23">
        <f>_xlfn.XLOOKUP(D22,Darbuotojai!$B$6:$B$20,Darbuotojai!$D$6:$D$20)</f>
        <v>980</v>
      </c>
      <c r="F22" s="36">
        <f>_xlfn.XLOOKUP(D22,Darbuotojai!$B$6:$B$20,Darbuotojai!$E$6:$E$20)</f>
        <v>5.5681818181818183</v>
      </c>
      <c r="G22" s="23">
        <f t="shared" si="3"/>
        <v>22</v>
      </c>
      <c r="H22" s="23">
        <f t="shared" ca="1" si="4"/>
        <v>16</v>
      </c>
      <c r="I22" s="23">
        <f t="shared" ca="1" si="5"/>
        <v>128</v>
      </c>
      <c r="J22" s="36">
        <f t="shared" ca="1" si="6"/>
        <v>712.72727272727275</v>
      </c>
      <c r="K22" s="36">
        <f t="shared" ca="1" si="7"/>
        <v>0</v>
      </c>
      <c r="L22" s="36">
        <f t="shared" ca="1" si="20"/>
        <v>194.38016528925621</v>
      </c>
      <c r="M22" s="44" t="str">
        <f t="shared" si="8"/>
        <v>0.00</v>
      </c>
      <c r="N22" s="36">
        <f t="shared" ca="1" si="9"/>
        <v>0</v>
      </c>
      <c r="O22" s="36">
        <f t="shared" ca="1" si="10"/>
        <v>907.10743801652893</v>
      </c>
      <c r="P22" s="36">
        <f t="shared" ca="1" si="11"/>
        <v>413.95206611570245</v>
      </c>
      <c r="Q22" s="36">
        <f t="shared" ca="1" si="12"/>
        <v>98.631074380165302</v>
      </c>
      <c r="R22" s="36">
        <f t="shared" ca="1" si="13"/>
        <v>129.62565289256199</v>
      </c>
      <c r="S22" s="36">
        <f t="shared" ca="1" si="14"/>
        <v>63.316099173553724</v>
      </c>
      <c r="T22" s="36">
        <f t="shared" ca="1" si="15"/>
        <v>27.213223140495867</v>
      </c>
      <c r="U22" s="36">
        <f t="shared" ca="1" si="16"/>
        <v>732.73811570247938</v>
      </c>
      <c r="V22" s="36">
        <f t="shared" ca="1" si="17"/>
        <v>174.36932231404955</v>
      </c>
      <c r="W22" s="36">
        <f t="shared" ca="1" si="18"/>
        <v>16.055801652892562</v>
      </c>
      <c r="X22" s="36">
        <f ca="1">Darbuotojai!F18</f>
        <v>150</v>
      </c>
      <c r="Y22" s="52">
        <f t="shared" ca="1" si="19"/>
        <v>24.369322314049555</v>
      </c>
    </row>
    <row r="23" spans="1:25" x14ac:dyDescent="0.25">
      <c r="A23" s="51" t="s">
        <v>154</v>
      </c>
      <c r="B23" s="38" t="str">
        <f t="shared" si="1"/>
        <v>03</v>
      </c>
      <c r="C23" s="37">
        <f t="shared" si="2"/>
        <v>46096</v>
      </c>
      <c r="D23" s="1" t="s">
        <v>168</v>
      </c>
      <c r="E23" s="23">
        <f>_xlfn.XLOOKUP(D23,Darbuotojai!$B$6:$B$20,Darbuotojai!$D$6:$D$20)</f>
        <v>980</v>
      </c>
      <c r="F23" s="36">
        <f>_xlfn.XLOOKUP(D23,Darbuotojai!$B$6:$B$20,Darbuotojai!$E$6:$E$20)</f>
        <v>5.5681818181818183</v>
      </c>
      <c r="G23" s="23">
        <f t="shared" si="3"/>
        <v>22</v>
      </c>
      <c r="H23" s="23">
        <f t="shared" ca="1" si="4"/>
        <v>20</v>
      </c>
      <c r="I23" s="23">
        <f t="shared" ca="1" si="5"/>
        <v>160</v>
      </c>
      <c r="J23" s="36">
        <f t="shared" ca="1" si="6"/>
        <v>890.90909090909099</v>
      </c>
      <c r="K23" s="36">
        <f t="shared" ca="1" si="7"/>
        <v>0</v>
      </c>
      <c r="L23" s="36">
        <f t="shared" ca="1" si="20"/>
        <v>0</v>
      </c>
      <c r="M23" s="44" t="str">
        <f t="shared" si="8"/>
        <v>0.00</v>
      </c>
      <c r="N23" s="36">
        <f t="shared" ca="1" si="9"/>
        <v>89.090909090909093</v>
      </c>
      <c r="O23" s="36">
        <f t="shared" ca="1" si="10"/>
        <v>980.00000000000011</v>
      </c>
      <c r="P23" s="36">
        <f t="shared" ca="1" si="11"/>
        <v>395</v>
      </c>
      <c r="Q23" s="36">
        <f t="shared" ca="1" si="12"/>
        <v>117.00000000000003</v>
      </c>
      <c r="R23" s="36">
        <f t="shared" ca="1" si="13"/>
        <v>127.31090909090911</v>
      </c>
      <c r="S23" s="36">
        <f t="shared" ca="1" si="14"/>
        <v>62.185454545454554</v>
      </c>
      <c r="T23" s="36">
        <f t="shared" ca="1" si="15"/>
        <v>29.400000000000002</v>
      </c>
      <c r="U23" s="36">
        <f t="shared" ca="1" si="16"/>
        <v>730.89636363636373</v>
      </c>
      <c r="V23" s="36">
        <f t="shared" ca="1" si="17"/>
        <v>249.10363636363638</v>
      </c>
      <c r="W23" s="36">
        <f t="shared" ca="1" si="18"/>
        <v>17.346000000000004</v>
      </c>
      <c r="X23" s="36">
        <f ca="1">Darbuotojai!F19</f>
        <v>200</v>
      </c>
      <c r="Y23" s="52">
        <f t="shared" ca="1" si="19"/>
        <v>49.103636363636383</v>
      </c>
    </row>
    <row r="24" spans="1:25" x14ac:dyDescent="0.25">
      <c r="A24" s="56" t="s">
        <v>154</v>
      </c>
      <c r="B24" s="57" t="str">
        <f t="shared" si="1"/>
        <v>03</v>
      </c>
      <c r="C24" s="58">
        <f t="shared" si="2"/>
        <v>46096</v>
      </c>
      <c r="D24" s="50" t="s">
        <v>169</v>
      </c>
      <c r="E24" s="59">
        <f>_xlfn.XLOOKUP(D24,Darbuotojai!$B$6:$B$20,Darbuotojai!$D$6:$D$20)</f>
        <v>980</v>
      </c>
      <c r="F24" s="60">
        <f>_xlfn.XLOOKUP(D24,Darbuotojai!$B$6:$B$20,Darbuotojai!$E$6:$E$20)</f>
        <v>5.5681818181818183</v>
      </c>
      <c r="G24" s="59">
        <f t="shared" si="3"/>
        <v>22</v>
      </c>
      <c r="H24" s="59">
        <f t="shared" ca="1" si="4"/>
        <v>20</v>
      </c>
      <c r="I24" s="59">
        <f t="shared" ca="1" si="5"/>
        <v>160</v>
      </c>
      <c r="J24" s="60">
        <f t="shared" ca="1" si="6"/>
        <v>890.90909090909099</v>
      </c>
      <c r="K24" s="60">
        <f t="shared" ca="1" si="7"/>
        <v>0</v>
      </c>
      <c r="L24" s="60">
        <f t="shared" ca="1" si="20"/>
        <v>0</v>
      </c>
      <c r="M24" s="61" t="str">
        <f t="shared" si="8"/>
        <v>0.00</v>
      </c>
      <c r="N24" s="60">
        <f t="shared" ca="1" si="9"/>
        <v>89.090909090909093</v>
      </c>
      <c r="O24" s="60">
        <f t="shared" ca="1" si="10"/>
        <v>980.00000000000011</v>
      </c>
      <c r="P24" s="60">
        <f t="shared" ca="1" si="11"/>
        <v>395</v>
      </c>
      <c r="Q24" s="60">
        <f t="shared" ca="1" si="12"/>
        <v>117.00000000000003</v>
      </c>
      <c r="R24" s="60">
        <f t="shared" ca="1" si="13"/>
        <v>127.31090909090911</v>
      </c>
      <c r="S24" s="60">
        <f t="shared" ca="1" si="14"/>
        <v>62.185454545454554</v>
      </c>
      <c r="T24" s="60">
        <f t="shared" ca="1" si="15"/>
        <v>29.400000000000002</v>
      </c>
      <c r="U24" s="60">
        <f t="shared" ca="1" si="16"/>
        <v>730.89636363636373</v>
      </c>
      <c r="V24" s="60">
        <f t="shared" ca="1" si="17"/>
        <v>249.10363636363638</v>
      </c>
      <c r="W24" s="60">
        <f t="shared" ca="1" si="18"/>
        <v>17.346000000000004</v>
      </c>
      <c r="X24" s="60">
        <f ca="1">Darbuotojai!F20</f>
        <v>200</v>
      </c>
      <c r="Y24" s="62">
        <f t="shared" ca="1" si="19"/>
        <v>49.103636363636383</v>
      </c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phoneticPr fontId="13" type="noConversion"/>
  <conditionalFormatting sqref="V10:V24">
    <cfRule type="top10" dxfId="30" priority="1" bottom="1" rank="5"/>
    <cfRule type="top10" priority="2" bottom="1" rank="5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workbookViewId="0">
      <selection activeCell="C8" sqref="C8"/>
    </sheetView>
  </sheetViews>
  <sheetFormatPr defaultRowHeight="15" x14ac:dyDescent="0.25"/>
  <cols>
    <col min="1" max="1" width="7.140625" customWidth="1"/>
    <col min="2" max="2" width="47.140625" customWidth="1"/>
    <col min="3" max="3" width="20.4257812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1">
        <f ca="1">COUNTIF('Darbo užmokestis'!H10:H24,"&gt;=18")</f>
        <v>11</v>
      </c>
    </row>
    <row r="4" spans="1:3" ht="30" x14ac:dyDescent="0.25">
      <c r="A4" s="1">
        <v>2</v>
      </c>
      <c r="B4" s="28" t="s">
        <v>120</v>
      </c>
      <c r="C4" s="33">
        <f ca="1">SUMIF('Darbo užmokestis'!H10:H24,"&lt;18",'Darbo užmokestis'!V10:V24)</f>
        <v>2128.0068132231404</v>
      </c>
    </row>
    <row r="5" spans="1:3" x14ac:dyDescent="0.25">
      <c r="A5" s="1">
        <v>3</v>
      </c>
      <c r="B5" s="1" t="s">
        <v>107</v>
      </c>
      <c r="C5" s="33">
        <f ca="1">AVERAGE('Darbo užmokestis'!X10:X24)</f>
        <v>180</v>
      </c>
    </row>
    <row r="6" spans="1:3" ht="30" x14ac:dyDescent="0.25">
      <c r="A6" s="1">
        <v>4</v>
      </c>
      <c r="B6" s="28" t="s">
        <v>119</v>
      </c>
      <c r="C6" s="33">
        <f ca="1">AVERAGEIF('Darbo užmokestis'!F10:F24,"&lt;8",'Darbo užmokestis'!R10:R25)</f>
        <v>138.60843707738539</v>
      </c>
    </row>
    <row r="7" spans="1:3" x14ac:dyDescent="0.25">
      <c r="A7" s="1">
        <v>5</v>
      </c>
      <c r="B7" s="1" t="s">
        <v>108</v>
      </c>
      <c r="C7" s="33">
        <f ca="1">MEDIAN('Darbo užmokestis'!P10:P24)</f>
        <v>375.76859504132233</v>
      </c>
    </row>
    <row r="8" spans="1:3" x14ac:dyDescent="0.25">
      <c r="A8" s="1">
        <v>6</v>
      </c>
      <c r="B8" s="1" t="s">
        <v>110</v>
      </c>
      <c r="C8" s="33">
        <f ca="1">LARGE('Darbo užmokestis'!Q10:Q24,2)</f>
        <v>285.84000000000009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Pareigybės</vt:lpstr>
      <vt:lpstr>Užduotis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Mokinys_16</cp:lastModifiedBy>
  <dcterms:created xsi:type="dcterms:W3CDTF">2018-12-13T14:39:32Z</dcterms:created>
  <dcterms:modified xsi:type="dcterms:W3CDTF">2026-05-11T09:59:46Z</dcterms:modified>
</cp:coreProperties>
</file>